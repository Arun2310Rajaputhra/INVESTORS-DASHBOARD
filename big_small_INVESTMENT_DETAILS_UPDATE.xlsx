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9000" activeTab="2"/>
  </bookViews>
  <sheets>
    <sheet name="Daily_Profits_Calculations" sheetId="1" r:id="rId1"/>
    <sheet name="Investor_Details" sheetId="2" r:id="rId2"/>
    <sheet name="Daily_Report" sheetId="4" r:id="rId3"/>
    <sheet name="Loss_Recovery" sheetId="5" r:id="rId4"/>
    <sheet name="Platofrm_Maintaince_Charges" sheetId="7" r:id="rId5"/>
    <sheet name="Rough Sheet" sheetId="6" r:id="rId6"/>
  </sheets>
  <calcPr calcId="144525"/>
</workbook>
</file>

<file path=xl/calcChain.xml><?xml version="1.0" encoding="utf-8"?>
<calcChain xmlns="http://schemas.openxmlformats.org/spreadsheetml/2006/main">
  <c r="K120" i="1" l="1"/>
  <c r="K121" i="1"/>
  <c r="K122" i="1"/>
  <c r="K123" i="1"/>
  <c r="K124" i="1"/>
  <c r="K125" i="1"/>
  <c r="K126" i="1"/>
  <c r="J120" i="1"/>
  <c r="J121" i="1"/>
  <c r="J122" i="1"/>
  <c r="J123" i="1"/>
  <c r="J124" i="1"/>
  <c r="J125" i="1"/>
  <c r="J126" i="1"/>
  <c r="K119" i="1"/>
  <c r="J119" i="1"/>
  <c r="K111" i="1" l="1"/>
  <c r="K112" i="1"/>
  <c r="K113" i="1"/>
  <c r="K114" i="1"/>
  <c r="K115" i="1"/>
  <c r="K116" i="1"/>
  <c r="K117" i="1"/>
  <c r="K110" i="1"/>
  <c r="E2" i="2" l="1"/>
  <c r="E3" i="2"/>
  <c r="E4" i="2"/>
  <c r="E5" i="2"/>
  <c r="E6" i="2"/>
  <c r="E7" i="2"/>
  <c r="E8" i="2"/>
  <c r="E9" i="2"/>
  <c r="J111" i="1" l="1"/>
  <c r="J112" i="1"/>
  <c r="J113" i="1"/>
  <c r="J114" i="1"/>
  <c r="J115" i="1"/>
  <c r="J116" i="1"/>
  <c r="J117" i="1"/>
  <c r="J110" i="1"/>
  <c r="J102" i="1" l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1" i="1"/>
  <c r="K101" i="1" s="1"/>
  <c r="J93" i="1" l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92" i="1"/>
  <c r="K92" i="1" s="1"/>
  <c r="J84" i="1" l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83" i="1"/>
  <c r="K83" i="1" s="1"/>
  <c r="F16" i="7" l="1"/>
  <c r="F9" i="7"/>
  <c r="F10" i="7"/>
  <c r="F11" i="7"/>
  <c r="F12" i="7"/>
  <c r="F13" i="7"/>
  <c r="F14" i="7"/>
  <c r="F15" i="7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75" i="1"/>
  <c r="K75" i="1" s="1"/>
  <c r="P26" i="6"/>
  <c r="P20" i="6" l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1" i="1"/>
  <c r="K51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67" i="1"/>
  <c r="K67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59" i="1"/>
  <c r="K59" i="1" s="1"/>
  <c r="J49" i="1" l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35" i="1" l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F2" i="7" l="1"/>
  <c r="F3" i="7"/>
  <c r="F4" i="7"/>
  <c r="F5" i="7"/>
  <c r="F6" i="7"/>
  <c r="F7" i="7"/>
  <c r="F8" i="7"/>
  <c r="J28" i="1" l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22" i="1" l="1"/>
  <c r="K22" i="1" s="1"/>
  <c r="J23" i="1"/>
  <c r="K23" i="1" s="1"/>
  <c r="J24" i="1"/>
  <c r="K24" i="1" s="1"/>
  <c r="J25" i="1"/>
  <c r="K25" i="1" s="1"/>
  <c r="J26" i="1"/>
  <c r="K26" i="1" s="1"/>
  <c r="J21" i="1" l="1"/>
  <c r="K21" i="1" s="1"/>
  <c r="G4" i="5" l="1"/>
  <c r="G5" i="5" s="1"/>
  <c r="J14" i="1" l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K3" i="1"/>
  <c r="K4" i="1"/>
  <c r="K2" i="1"/>
  <c r="J13" i="1"/>
  <c r="K13" i="1" s="1"/>
  <c r="J8" i="1" l="1"/>
  <c r="K8" i="1" s="1"/>
  <c r="J9" i="1"/>
  <c r="K9" i="1" s="1"/>
  <c r="J10" i="1"/>
  <c r="K10" i="1" s="1"/>
  <c r="J11" i="1"/>
  <c r="K11" i="1" s="1"/>
  <c r="J12" i="1"/>
  <c r="K12" i="1" s="1"/>
  <c r="J6" i="1" l="1"/>
  <c r="K6" i="1" s="1"/>
  <c r="J7" i="1"/>
  <c r="K7" i="1" s="1"/>
  <c r="J5" i="1"/>
  <c r="K5" i="1" s="1"/>
</calcChain>
</file>

<file path=xl/sharedStrings.xml><?xml version="1.0" encoding="utf-8"?>
<sst xmlns="http://schemas.openxmlformats.org/spreadsheetml/2006/main" count="662" uniqueCount="80">
  <si>
    <t>UserID</t>
  </si>
  <si>
    <t>Name</t>
  </si>
  <si>
    <t>Date</t>
  </si>
  <si>
    <t>Profit</t>
  </si>
  <si>
    <t>Invest_Amount</t>
  </si>
  <si>
    <t>Total_Profit</t>
  </si>
  <si>
    <t>Profit_%</t>
  </si>
  <si>
    <t>U001</t>
  </si>
  <si>
    <t>Arun</t>
  </si>
  <si>
    <t>Transaction_ID</t>
  </si>
  <si>
    <t>Company_Total_Invest</t>
  </si>
  <si>
    <t>Transaction_Date</t>
  </si>
  <si>
    <t>U002</t>
  </si>
  <si>
    <t>Grp Mem Mumtaj</t>
  </si>
  <si>
    <t>U003</t>
  </si>
  <si>
    <t>Grp Mem Balram</t>
  </si>
  <si>
    <t>Payment_Status</t>
  </si>
  <si>
    <t>U004</t>
  </si>
  <si>
    <t>Bigil</t>
  </si>
  <si>
    <t>U005</t>
  </si>
  <si>
    <t>Vending Machine Referer</t>
  </si>
  <si>
    <t>U006</t>
  </si>
  <si>
    <t>Grp Mem Athithya</t>
  </si>
  <si>
    <t>Invested_Amount</t>
  </si>
  <si>
    <t>Payment</t>
  </si>
  <si>
    <t>T001ADD1700</t>
  </si>
  <si>
    <t>T002ADD500</t>
  </si>
  <si>
    <t>T003ADD500</t>
  </si>
  <si>
    <t>T004ADD1500</t>
  </si>
  <si>
    <t>T005ADD500</t>
  </si>
  <si>
    <t>T006ADD2000</t>
  </si>
  <si>
    <t>T007ADD1000</t>
  </si>
  <si>
    <t>Total Profit Earned</t>
  </si>
  <si>
    <t>Total Profit</t>
  </si>
  <si>
    <t>Recovered</t>
  </si>
  <si>
    <t>Remaining</t>
  </si>
  <si>
    <t>Loss</t>
  </si>
  <si>
    <t>UPI</t>
  </si>
  <si>
    <t>Myself</t>
  </si>
  <si>
    <t>Completed</t>
  </si>
  <si>
    <t>8492066060@indie</t>
  </si>
  <si>
    <t>sriramranjith1999-2@okicici</t>
  </si>
  <si>
    <t>Shoaib.1@superyes</t>
  </si>
  <si>
    <t>selva.aathi12-8@okicici</t>
  </si>
  <si>
    <t>6372971081@ybl</t>
  </si>
  <si>
    <t>balram</t>
  </si>
  <si>
    <t>mumtaj</t>
  </si>
  <si>
    <t>bigil</t>
  </si>
  <si>
    <t>vending</t>
  </si>
  <si>
    <t>athithya</t>
  </si>
  <si>
    <t>U007</t>
  </si>
  <si>
    <t>Chinni</t>
  </si>
  <si>
    <t>Reason_For_Charge</t>
  </si>
  <si>
    <t>Paid_Amt</t>
  </si>
  <si>
    <t>Pending_Amt</t>
  </si>
  <si>
    <t>Charge_Amt</t>
  </si>
  <si>
    <t>Charge_Per_Head</t>
  </si>
  <si>
    <t>KYC Recharge Charges For VPS</t>
  </si>
  <si>
    <t>9515974700@ybl</t>
  </si>
  <si>
    <t>U008</t>
  </si>
  <si>
    <t>Pradip</t>
  </si>
  <si>
    <t>VPS Charges For 10th Dec'2025</t>
  </si>
  <si>
    <t>User_Invest_Amount_As_On_Date</t>
  </si>
  <si>
    <t>User_Invested_Amount</t>
  </si>
  <si>
    <t>Company_Total_Investment_As_On_Date</t>
  </si>
  <si>
    <t>pradeepganapa@ybl</t>
  </si>
  <si>
    <t>T008ADD300</t>
  </si>
  <si>
    <t>11/302025</t>
  </si>
  <si>
    <t>T009ADD2000</t>
  </si>
  <si>
    <t>T010ADD1000</t>
  </si>
  <si>
    <t>T011ADD500</t>
  </si>
  <si>
    <t>T012ADD500</t>
  </si>
  <si>
    <t>Contact_Name</t>
  </si>
  <si>
    <t>Mohd Shoaib</t>
  </si>
  <si>
    <t>Balaram</t>
  </si>
  <si>
    <t>Sriram Ranjith</t>
  </si>
  <si>
    <t>Total_Invested_Amount</t>
  </si>
  <si>
    <t>Mubashar Sarfraz</t>
  </si>
  <si>
    <t>Aathithya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</si>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</sst>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2" fontId="0" fillId="3" borderId="2" xfId="0" applyNumberFormat="1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2" fontId="0" fillId="0" borderId="2" xfId="0" applyNumberFormat="1" applyFont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2" fontId="0" fillId="3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2" fontId="2" fillId="2" borderId="2" xfId="0" applyNumberFormat="1" applyFont="1" applyFill="1" applyBorder="1" applyAlignment="1">
      <alignment horizontal="center"/>
    </xf>
    <xf numFmtId="0" fontId="0" fillId="0" borderId="1" xfId="0" applyFont="1" applyBorder="1"/>
    <xf numFmtId="0" fontId="0" fillId="3" borderId="1" xfId="0" applyFont="1" applyFill="1" applyBorder="1"/>
    <xf numFmtId="14" fontId="0" fillId="0" borderId="0" xfId="0" applyNumberFormat="1"/>
    <xf numFmtId="0" fontId="0" fillId="3" borderId="2" xfId="0" applyFont="1" applyFill="1" applyBorder="1"/>
    <xf numFmtId="2" fontId="0" fillId="3" borderId="2" xfId="0" applyNumberFormat="1" applyFont="1" applyFill="1" applyBorder="1"/>
    <xf numFmtId="0" fontId="0" fillId="0" borderId="2" xfId="0" applyFont="1" applyBorder="1"/>
    <xf numFmtId="2" fontId="0" fillId="0" borderId="2" xfId="0" applyNumberFormat="1" applyFont="1" applyBorder="1"/>
    <xf numFmtId="0" fontId="2" fillId="2" borderId="2" xfId="0" applyFont="1" applyFill="1" applyBorder="1"/>
    <xf numFmtId="14" fontId="0" fillId="3" borderId="2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40"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5641" totalsRowCount="1" headerRowDxfId="39" dataDxfId="38" totalsRowDxfId="37">
  <autoFilter ref="A1:L5640"/>
  <tableColumns count="12">
    <tableColumn id="9" name="Date" dataDxfId="36" totalsRowDxfId="11"/>
    <tableColumn id="13" name="UserID" dataDxfId="35" totalsRowDxfId="10"/>
    <tableColumn id="8" name="Name" dataDxfId="34" totalsRowDxfId="9"/>
    <tableColumn id="15" name="User_Invested_Amount" dataDxfId="33" totalsRowDxfId="8"/>
    <tableColumn id="17" name="Transaction_ID" dataDxfId="32" totalsRowDxfId="7"/>
    <tableColumn id="16" name="Transaction_Date" dataDxfId="31" totalsRowDxfId="6"/>
    <tableColumn id="3" name="User_Invest_Amount_As_On_Date" dataDxfId="30" totalsRowDxfId="5"/>
    <tableColumn id="6" name="Company_Total_Investment_As_On_Date" dataDxfId="29" totalsRowDxfId="4"/>
    <tableColumn id="10" name="Total_Profit" dataDxfId="28" totalsRowDxfId="3"/>
    <tableColumn id="11" name="Profit_%" dataDxfId="27" totalsRowDxfId="2"/>
    <tableColumn id="7" name="Profit" dataDxfId="26" totalsRowDxfId="1"/>
    <tableColumn id="4" name="Payment_Status" dataDxfId="25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9" totalsRowShown="0">
  <autoFilter ref="A1:F9"/>
  <tableColumns count="6">
    <tableColumn id="1" name="UserID"/>
    <tableColumn id="2" name="Contact_Name"/>
    <tableColumn id="9" name="Name"/>
    <tableColumn id="3" name="Total_Invested_Amount"/>
    <tableColumn id="6" name="Total Profit Earned" dataDxfId="24">
      <calculatedColumnFormula>SUMIFS(Daily_Report!E:E,Daily_Report!B:B,Table2[[#This Row],[UserID]])</calculatedColumnFormula>
    </tableColumn>
    <tableColumn id="5" name="UP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F602" totalsRowShown="0" headerRowDxfId="23" dataDxfId="21" headerRowBorderDxfId="22" tableBorderDxfId="20" totalsRowBorderDxfId="19">
  <autoFilter ref="A1:F602"/>
  <tableColumns count="6">
    <tableColumn id="1" name="Date" dataDxfId="18"/>
    <tableColumn id="2" name="UserID" dataDxfId="17"/>
    <tableColumn id="3" name="Invest_Amount" dataDxfId="16"/>
    <tableColumn id="6" name="Company_Total_Invest" dataDxfId="15"/>
    <tableColumn id="4" name="Profit" dataDxfId="14"/>
    <tableColumn id="5" name="Payment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:B8" totalsRowShown="0">
  <autoFilter ref="A1:B8"/>
  <tableColumns count="2">
    <tableColumn id="1" name="Date"/>
    <tableColumn id="2" name="Total Profi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6" totalsRowShown="0">
  <autoFilter ref="A1:F16"/>
  <tableColumns count="6">
    <tableColumn id="1" name="UserID"/>
    <tableColumn id="2" name="Reason_For_Charge"/>
    <tableColumn id="3" name="Charge_Amt"/>
    <tableColumn id="6" name="Charge_Per_Head"/>
    <tableColumn id="4" name="Paid_Amt"/>
    <tableColumn id="5" name="Pending_Amt" dataDxfId="12">
      <calculatedColumnFormula>Table5[[#This Row],[Charge_Per_Head]]-Table5[[#This Row],[Paid_Amt]]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radeepganapa@ybl" TargetMode="External"/><Relationship Id="rId2" Type="http://schemas.openxmlformats.org/officeDocument/2006/relationships/hyperlink" Target="mailto:9515974700@ybl" TargetMode="External"/><Relationship Id="rId1" Type="http://schemas.openxmlformats.org/officeDocument/2006/relationships/hyperlink" Target="mailto:8492066060@indie" TargetMode="External"/><Relationship Id="rId5" Type="http://schemas.openxmlformats.org/officeDocument/2006/relationships/table" Target="../tables/table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41"/>
  <sheetViews>
    <sheetView topLeftCell="D106" workbookViewId="0">
      <selection activeCell="K119" sqref="K119:K126"/>
    </sheetView>
  </sheetViews>
  <sheetFormatPr defaultRowHeight="15" x14ac:dyDescent="0.25"/>
  <cols>
    <col min="1" max="2" width="12.42578125" style="14" customWidth="1"/>
    <col min="3" max="6" width="20.7109375" style="14" customWidth="1"/>
    <col min="7" max="7" width="26" style="14" customWidth="1"/>
    <col min="8" max="8" width="22.28515625" style="14" customWidth="1"/>
    <col min="9" max="9" width="15.7109375" style="14" customWidth="1"/>
    <col min="10" max="10" width="13.85546875" style="15" customWidth="1"/>
    <col min="11" max="11" width="13.140625" style="15" customWidth="1"/>
    <col min="12" max="12" width="20" style="14" bestFit="1" customWidth="1"/>
    <col min="13" max="16384" width="9.140625" style="14"/>
  </cols>
  <sheetData>
    <row r="1" spans="1:12" x14ac:dyDescent="0.25">
      <c r="A1" s="1" t="s">
        <v>2</v>
      </c>
      <c r="B1" s="1" t="s">
        <v>0</v>
      </c>
      <c r="C1" s="1" t="s">
        <v>1</v>
      </c>
      <c r="D1" s="1" t="s">
        <v>63</v>
      </c>
      <c r="E1" s="1" t="s">
        <v>9</v>
      </c>
      <c r="F1" s="1" t="s">
        <v>11</v>
      </c>
      <c r="G1" s="1" t="s">
        <v>62</v>
      </c>
      <c r="H1" s="1" t="s">
        <v>64</v>
      </c>
      <c r="I1" s="1" t="s">
        <v>5</v>
      </c>
      <c r="J1" s="2" t="s">
        <v>6</v>
      </c>
      <c r="K1" s="2" t="s">
        <v>3</v>
      </c>
      <c r="L1" s="1" t="s">
        <v>16</v>
      </c>
    </row>
    <row r="2" spans="1:12" x14ac:dyDescent="0.25">
      <c r="A2" s="28">
        <v>45978</v>
      </c>
      <c r="B2" s="14" t="s">
        <v>7</v>
      </c>
      <c r="C2" s="14" t="s">
        <v>8</v>
      </c>
      <c r="D2" s="14">
        <v>1700</v>
      </c>
      <c r="E2" s="14" t="s">
        <v>25</v>
      </c>
      <c r="F2" s="28">
        <v>45977</v>
      </c>
      <c r="G2" s="14">
        <v>1700</v>
      </c>
      <c r="H2" s="14">
        <v>1700</v>
      </c>
      <c r="I2" s="14">
        <v>10.130000000000001</v>
      </c>
      <c r="J2" s="15">
        <v>1</v>
      </c>
      <c r="K2" s="15">
        <f>Table1[[#This Row],[Total_Profit]]*Table1[[#This Row],[Profit_%]]</f>
        <v>10.130000000000001</v>
      </c>
      <c r="L2" s="14" t="s">
        <v>39</v>
      </c>
    </row>
    <row r="3" spans="1:12" x14ac:dyDescent="0.25">
      <c r="A3" s="28">
        <v>45979</v>
      </c>
      <c r="B3" s="14" t="s">
        <v>7</v>
      </c>
      <c r="C3" s="14" t="s">
        <v>8</v>
      </c>
      <c r="G3" s="14">
        <v>1700</v>
      </c>
      <c r="H3" s="14">
        <v>1700</v>
      </c>
      <c r="I3" s="14">
        <v>31.68</v>
      </c>
      <c r="J3" s="15">
        <v>1</v>
      </c>
      <c r="K3" s="15">
        <f>Table1[[#This Row],[Total_Profit]]*Table1[[#This Row],[Profit_%]]</f>
        <v>31.68</v>
      </c>
      <c r="L3" s="14" t="s">
        <v>39</v>
      </c>
    </row>
    <row r="4" spans="1:12" x14ac:dyDescent="0.25">
      <c r="A4" s="28">
        <v>45980</v>
      </c>
      <c r="B4" s="14" t="s">
        <v>7</v>
      </c>
      <c r="C4" s="14" t="s">
        <v>8</v>
      </c>
      <c r="G4" s="14">
        <v>1700</v>
      </c>
      <c r="H4" s="14">
        <v>1700</v>
      </c>
      <c r="I4" s="14">
        <v>98.08</v>
      </c>
      <c r="J4" s="15">
        <v>1</v>
      </c>
      <c r="K4" s="15">
        <f>Table1[[#This Row],[Total_Profit]]*Table1[[#This Row],[Profit_%]]</f>
        <v>98.08</v>
      </c>
      <c r="L4" s="14" t="s">
        <v>39</v>
      </c>
    </row>
    <row r="5" spans="1:12" x14ac:dyDescent="0.25">
      <c r="A5" s="28">
        <v>45981</v>
      </c>
      <c r="B5" s="14" t="s">
        <v>7</v>
      </c>
      <c r="C5" s="14" t="s">
        <v>8</v>
      </c>
      <c r="G5" s="14">
        <v>1700</v>
      </c>
      <c r="H5" s="14">
        <v>2700</v>
      </c>
      <c r="I5" s="14">
        <v>101.9</v>
      </c>
      <c r="J5" s="15">
        <f>Table1[[#This Row],[User_Invest_Amount_As_On_Date]]/Table1[[#This Row],[Company_Total_Investment_As_On_Date]]</f>
        <v>0.62962962962962965</v>
      </c>
      <c r="K5" s="15">
        <f>Table1[[#This Row],[Total_Profit]]*Table1[[#This Row],[Profit_%]]</f>
        <v>64.159259259259258</v>
      </c>
      <c r="L5" s="14" t="s">
        <v>39</v>
      </c>
    </row>
    <row r="6" spans="1:12" x14ac:dyDescent="0.25">
      <c r="A6" s="28">
        <v>45981</v>
      </c>
      <c r="B6" s="14" t="s">
        <v>12</v>
      </c>
      <c r="C6" s="14" t="s">
        <v>13</v>
      </c>
      <c r="D6" s="14">
        <v>500</v>
      </c>
      <c r="E6" s="14" t="s">
        <v>26</v>
      </c>
      <c r="F6" s="28">
        <v>45980</v>
      </c>
      <c r="G6" s="14">
        <v>500</v>
      </c>
      <c r="H6" s="14">
        <v>2700</v>
      </c>
      <c r="I6" s="14">
        <v>101.9</v>
      </c>
      <c r="J6" s="15">
        <f>Table1[[#This Row],[User_Invest_Amount_As_On_Date]]/Table1[[#This Row],[Company_Total_Investment_As_On_Date]]</f>
        <v>0.18518518518518517</v>
      </c>
      <c r="K6" s="15">
        <f>Table1[[#This Row],[Total_Profit]]*Table1[[#This Row],[Profit_%]]</f>
        <v>18.87037037037037</v>
      </c>
      <c r="L6" s="14" t="s">
        <v>39</v>
      </c>
    </row>
    <row r="7" spans="1:12" x14ac:dyDescent="0.25">
      <c r="A7" s="28">
        <v>45981</v>
      </c>
      <c r="B7" s="14" t="s">
        <v>14</v>
      </c>
      <c r="C7" s="14" t="s">
        <v>15</v>
      </c>
      <c r="D7" s="14">
        <v>500</v>
      </c>
      <c r="E7" s="14" t="s">
        <v>27</v>
      </c>
      <c r="F7" s="28">
        <v>45980</v>
      </c>
      <c r="G7" s="14">
        <v>500</v>
      </c>
      <c r="H7" s="14">
        <v>2700</v>
      </c>
      <c r="I7" s="14">
        <v>101.9</v>
      </c>
      <c r="J7" s="15">
        <f>Table1[[#This Row],[User_Invest_Amount_As_On_Date]]/Table1[[#This Row],[Company_Total_Investment_As_On_Date]]</f>
        <v>0.18518518518518517</v>
      </c>
      <c r="K7" s="15">
        <f>Table1[[#This Row],[Total_Profit]]*Table1[[#This Row],[Profit_%]]</f>
        <v>18.87037037037037</v>
      </c>
      <c r="L7" s="14" t="s">
        <v>39</v>
      </c>
    </row>
    <row r="8" spans="1:12" x14ac:dyDescent="0.25">
      <c r="A8" s="28">
        <v>45982</v>
      </c>
      <c r="B8" s="14" t="s">
        <v>7</v>
      </c>
      <c r="C8" s="14" t="s">
        <v>8</v>
      </c>
      <c r="G8" s="14">
        <v>1700</v>
      </c>
      <c r="H8" s="14">
        <v>6700</v>
      </c>
      <c r="I8" s="14">
        <v>105.2</v>
      </c>
      <c r="J8" s="15">
        <f>Table1[[#This Row],[User_Invest_Amount_As_On_Date]]/Table1[[#This Row],[Company_Total_Investment_As_On_Date]]</f>
        <v>0.2537313432835821</v>
      </c>
      <c r="K8" s="15">
        <f>Table1[[#This Row],[Total_Profit]]*Table1[[#This Row],[Profit_%]]</f>
        <v>26.692537313432837</v>
      </c>
      <c r="L8" s="14" t="s">
        <v>39</v>
      </c>
    </row>
    <row r="9" spans="1:12" x14ac:dyDescent="0.25">
      <c r="A9" s="28">
        <v>45982</v>
      </c>
      <c r="B9" s="14" t="s">
        <v>12</v>
      </c>
      <c r="C9" s="14" t="s">
        <v>13</v>
      </c>
      <c r="G9" s="14">
        <v>500</v>
      </c>
      <c r="H9" s="14">
        <v>6700</v>
      </c>
      <c r="I9" s="14">
        <v>105.2</v>
      </c>
      <c r="J9" s="15">
        <f>Table1[[#This Row],[User_Invest_Amount_As_On_Date]]/Table1[[#This Row],[Company_Total_Investment_As_On_Date]]</f>
        <v>7.4626865671641784E-2</v>
      </c>
      <c r="K9" s="15">
        <f>Table1[[#This Row],[Total_Profit]]*Table1[[#This Row],[Profit_%]]</f>
        <v>7.8507462686567155</v>
      </c>
      <c r="L9" s="14" t="s">
        <v>39</v>
      </c>
    </row>
    <row r="10" spans="1:12" x14ac:dyDescent="0.25">
      <c r="A10" s="28">
        <v>45982</v>
      </c>
      <c r="B10" s="14" t="s">
        <v>14</v>
      </c>
      <c r="C10" s="14" t="s">
        <v>15</v>
      </c>
      <c r="G10" s="14">
        <v>500</v>
      </c>
      <c r="H10" s="14">
        <v>6700</v>
      </c>
      <c r="I10" s="14">
        <v>105.2</v>
      </c>
      <c r="J10" s="15">
        <f>Table1[[#This Row],[User_Invest_Amount_As_On_Date]]/Table1[[#This Row],[Company_Total_Investment_As_On_Date]]</f>
        <v>7.4626865671641784E-2</v>
      </c>
      <c r="K10" s="15">
        <f>Table1[[#This Row],[Total_Profit]]*Table1[[#This Row],[Profit_%]]</f>
        <v>7.8507462686567155</v>
      </c>
      <c r="L10" s="14" t="s">
        <v>39</v>
      </c>
    </row>
    <row r="11" spans="1:12" x14ac:dyDescent="0.25">
      <c r="A11" s="28">
        <v>45982</v>
      </c>
      <c r="B11" s="14" t="s">
        <v>17</v>
      </c>
      <c r="C11" s="14" t="s">
        <v>18</v>
      </c>
      <c r="D11" s="14">
        <v>1500</v>
      </c>
      <c r="E11" s="14" t="s">
        <v>28</v>
      </c>
      <c r="F11" s="28">
        <v>45981</v>
      </c>
      <c r="G11" s="14">
        <v>1500</v>
      </c>
      <c r="H11" s="14">
        <v>6700</v>
      </c>
      <c r="I11" s="14">
        <v>105.2</v>
      </c>
      <c r="J11" s="15">
        <f>Table1[[#This Row],[User_Invest_Amount_As_On_Date]]/Table1[[#This Row],[Company_Total_Investment_As_On_Date]]</f>
        <v>0.22388059701492538</v>
      </c>
      <c r="K11" s="15">
        <f>Table1[[#This Row],[Total_Profit]]*Table1[[#This Row],[Profit_%]]</f>
        <v>23.552238805970152</v>
      </c>
      <c r="L11" s="14" t="s">
        <v>39</v>
      </c>
    </row>
    <row r="12" spans="1:12" x14ac:dyDescent="0.25">
      <c r="A12" s="28">
        <v>45982</v>
      </c>
      <c r="B12" s="14" t="s">
        <v>19</v>
      </c>
      <c r="C12" s="14" t="s">
        <v>20</v>
      </c>
      <c r="D12" s="14">
        <v>500</v>
      </c>
      <c r="E12" s="14" t="s">
        <v>29</v>
      </c>
      <c r="F12" s="28">
        <v>45981</v>
      </c>
      <c r="G12" s="14">
        <v>500</v>
      </c>
      <c r="H12" s="14">
        <v>6700</v>
      </c>
      <c r="I12" s="14">
        <v>105.2</v>
      </c>
      <c r="J12" s="15">
        <f>Table1[[#This Row],[User_Invest_Amount_As_On_Date]]/Table1[[#This Row],[Company_Total_Investment_As_On_Date]]</f>
        <v>7.4626865671641784E-2</v>
      </c>
      <c r="K12" s="15">
        <f>Table1[[#This Row],[Total_Profit]]*Table1[[#This Row],[Profit_%]]</f>
        <v>7.8507462686567155</v>
      </c>
      <c r="L12" s="14" t="s">
        <v>39</v>
      </c>
    </row>
    <row r="13" spans="1:12" x14ac:dyDescent="0.25">
      <c r="A13" s="28">
        <v>45982</v>
      </c>
      <c r="B13" s="14" t="s">
        <v>21</v>
      </c>
      <c r="C13" s="14" t="s">
        <v>22</v>
      </c>
      <c r="D13" s="14">
        <v>2000</v>
      </c>
      <c r="E13" s="14" t="s">
        <v>30</v>
      </c>
      <c r="F13" s="28">
        <v>45981</v>
      </c>
      <c r="G13" s="14">
        <v>2000</v>
      </c>
      <c r="H13" s="14">
        <v>6700</v>
      </c>
      <c r="I13" s="14">
        <v>105.2</v>
      </c>
      <c r="J13" s="15">
        <f>Table1[[#This Row],[User_Invest_Amount_As_On_Date]]/Table1[[#This Row],[Company_Total_Investment_As_On_Date]]</f>
        <v>0.29850746268656714</v>
      </c>
      <c r="K13" s="15">
        <f>Table1[[#This Row],[Total_Profit]]*Table1[[#This Row],[Profit_%]]</f>
        <v>31.402985074626862</v>
      </c>
      <c r="L13" s="14" t="s">
        <v>39</v>
      </c>
    </row>
    <row r="14" spans="1:12" x14ac:dyDescent="0.25">
      <c r="A14" s="28">
        <v>45983</v>
      </c>
      <c r="B14" s="14" t="s">
        <v>7</v>
      </c>
      <c r="C14" s="14" t="s">
        <v>8</v>
      </c>
      <c r="G14" s="14">
        <v>1700</v>
      </c>
      <c r="H14" s="14">
        <v>7700</v>
      </c>
      <c r="I14" s="14">
        <v>-1670</v>
      </c>
      <c r="J14" s="15">
        <f>Table1[[#This Row],[User_Invest_Amount_As_On_Date]]/Table1[[#This Row],[Company_Total_Investment_As_On_Date]]</f>
        <v>0.22077922077922077</v>
      </c>
      <c r="K14" s="15">
        <f>Table1[[#This Row],[Total_Profit]]*Table1[[#This Row],[Profit_%]]</f>
        <v>-368.7012987012987</v>
      </c>
      <c r="L14" s="14" t="s">
        <v>34</v>
      </c>
    </row>
    <row r="15" spans="1:12" x14ac:dyDescent="0.25">
      <c r="A15" s="28">
        <v>45983</v>
      </c>
      <c r="B15" s="14" t="s">
        <v>12</v>
      </c>
      <c r="C15" s="14" t="s">
        <v>13</v>
      </c>
      <c r="D15" s="14">
        <v>1000</v>
      </c>
      <c r="E15" s="14" t="s">
        <v>31</v>
      </c>
      <c r="F15" s="28">
        <v>45982</v>
      </c>
      <c r="G15" s="14">
        <v>1500</v>
      </c>
      <c r="H15" s="14">
        <v>7700</v>
      </c>
      <c r="I15" s="14">
        <v>-1670</v>
      </c>
      <c r="J15" s="15">
        <f>Table1[[#This Row],[User_Invest_Amount_As_On_Date]]/Table1[[#This Row],[Company_Total_Investment_As_On_Date]]</f>
        <v>0.19480519480519481</v>
      </c>
      <c r="K15" s="15">
        <f>Table1[[#This Row],[Total_Profit]]*Table1[[#This Row],[Profit_%]]</f>
        <v>-325.32467532467535</v>
      </c>
      <c r="L15" s="14" t="s">
        <v>34</v>
      </c>
    </row>
    <row r="16" spans="1:12" x14ac:dyDescent="0.25">
      <c r="A16" s="28">
        <v>45983</v>
      </c>
      <c r="B16" s="14" t="s">
        <v>14</v>
      </c>
      <c r="C16" s="14" t="s">
        <v>15</v>
      </c>
      <c r="G16" s="14">
        <v>500</v>
      </c>
      <c r="H16" s="14">
        <v>7700</v>
      </c>
      <c r="I16" s="14">
        <v>-1670</v>
      </c>
      <c r="J16" s="15">
        <f>Table1[[#This Row],[User_Invest_Amount_As_On_Date]]/Table1[[#This Row],[Company_Total_Investment_As_On_Date]]</f>
        <v>6.4935064935064929E-2</v>
      </c>
      <c r="K16" s="15">
        <f>Table1[[#This Row],[Total_Profit]]*Table1[[#This Row],[Profit_%]]</f>
        <v>-108.44155844155843</v>
      </c>
      <c r="L16" s="14" t="s">
        <v>34</v>
      </c>
    </row>
    <row r="17" spans="1:12" x14ac:dyDescent="0.25">
      <c r="A17" s="28">
        <v>45983</v>
      </c>
      <c r="B17" s="14" t="s">
        <v>17</v>
      </c>
      <c r="C17" s="14" t="s">
        <v>18</v>
      </c>
      <c r="G17" s="14">
        <v>1500</v>
      </c>
      <c r="H17" s="14">
        <v>7700</v>
      </c>
      <c r="I17" s="14">
        <v>-1670</v>
      </c>
      <c r="J17" s="15">
        <f>Table1[[#This Row],[User_Invest_Amount_As_On_Date]]/Table1[[#This Row],[Company_Total_Investment_As_On_Date]]</f>
        <v>0.19480519480519481</v>
      </c>
      <c r="K17" s="15">
        <f>Table1[[#This Row],[Total_Profit]]*Table1[[#This Row],[Profit_%]]</f>
        <v>-325.32467532467535</v>
      </c>
      <c r="L17" s="14" t="s">
        <v>34</v>
      </c>
    </row>
    <row r="18" spans="1:12" x14ac:dyDescent="0.25">
      <c r="A18" s="28">
        <v>45983</v>
      </c>
      <c r="B18" s="14" t="s">
        <v>19</v>
      </c>
      <c r="C18" s="14" t="s">
        <v>20</v>
      </c>
      <c r="G18" s="14">
        <v>500</v>
      </c>
      <c r="H18" s="14">
        <v>7700</v>
      </c>
      <c r="I18" s="14">
        <v>-1670</v>
      </c>
      <c r="J18" s="15">
        <f>Table1[[#This Row],[User_Invest_Amount_As_On_Date]]/Table1[[#This Row],[Company_Total_Investment_As_On_Date]]</f>
        <v>6.4935064935064929E-2</v>
      </c>
      <c r="K18" s="15">
        <f>Table1[[#This Row],[Total_Profit]]*Table1[[#This Row],[Profit_%]]</f>
        <v>-108.44155844155843</v>
      </c>
      <c r="L18" s="14" t="s">
        <v>34</v>
      </c>
    </row>
    <row r="19" spans="1:12" x14ac:dyDescent="0.25">
      <c r="A19" s="28">
        <v>45983</v>
      </c>
      <c r="B19" s="14" t="s">
        <v>21</v>
      </c>
      <c r="C19" s="14" t="s">
        <v>22</v>
      </c>
      <c r="G19" s="14">
        <v>2000</v>
      </c>
      <c r="H19" s="14">
        <v>7700</v>
      </c>
      <c r="I19" s="14">
        <v>-1670</v>
      </c>
      <c r="J19" s="15">
        <f>Table1[[#This Row],[User_Invest_Amount_As_On_Date]]/Table1[[#This Row],[Company_Total_Investment_As_On_Date]]</f>
        <v>0.25974025974025972</v>
      </c>
      <c r="K19" s="15">
        <f>Table1[[#This Row],[Total_Profit]]*Table1[[#This Row],[Profit_%]]</f>
        <v>-433.76623376623371</v>
      </c>
      <c r="L19" s="14" t="s">
        <v>34</v>
      </c>
    </row>
    <row r="21" spans="1:12" x14ac:dyDescent="0.25">
      <c r="A21" s="28">
        <v>45992</v>
      </c>
      <c r="B21" s="14" t="s">
        <v>7</v>
      </c>
      <c r="C21" s="14" t="s">
        <v>8</v>
      </c>
      <c r="D21" s="14">
        <v>300</v>
      </c>
      <c r="E21" s="14" t="s">
        <v>66</v>
      </c>
      <c r="F21" s="14" t="s">
        <v>67</v>
      </c>
      <c r="G21" s="14">
        <v>2000</v>
      </c>
      <c r="H21" s="14">
        <v>8000</v>
      </c>
      <c r="I21" s="15">
        <v>230</v>
      </c>
      <c r="J21" s="15">
        <f>Table1[[#This Row],[User_Invest_Amount_As_On_Date]]/Table1[[#This Row],[Company_Total_Investment_As_On_Date]]</f>
        <v>0.25</v>
      </c>
      <c r="K21" s="15">
        <f>Table1[[#This Row],[Total_Profit]]*Table1[[#This Row],[Profit_%]]</f>
        <v>57.5</v>
      </c>
      <c r="L21" s="14" t="s">
        <v>39</v>
      </c>
    </row>
    <row r="22" spans="1:12" x14ac:dyDescent="0.25">
      <c r="A22" s="28">
        <v>45992</v>
      </c>
      <c r="B22" s="14" t="s">
        <v>12</v>
      </c>
      <c r="C22" s="14" t="s">
        <v>13</v>
      </c>
      <c r="G22" s="14">
        <v>1500</v>
      </c>
      <c r="H22" s="14">
        <v>8000</v>
      </c>
      <c r="I22" s="15">
        <v>230</v>
      </c>
      <c r="J22" s="15">
        <f>Table1[[#This Row],[User_Invest_Amount_As_On_Date]]/Table1[[#This Row],[Company_Total_Investment_As_On_Date]]</f>
        <v>0.1875</v>
      </c>
      <c r="K22" s="15">
        <f>Table1[[#This Row],[Total_Profit]]*Table1[[#This Row],[Profit_%]]</f>
        <v>43.125</v>
      </c>
      <c r="L22" s="14" t="s">
        <v>39</v>
      </c>
    </row>
    <row r="23" spans="1:12" x14ac:dyDescent="0.25">
      <c r="A23" s="28">
        <v>45992</v>
      </c>
      <c r="B23" s="14" t="s">
        <v>14</v>
      </c>
      <c r="C23" s="14" t="s">
        <v>15</v>
      </c>
      <c r="G23" s="14">
        <v>500</v>
      </c>
      <c r="H23" s="14">
        <v>8000</v>
      </c>
      <c r="I23" s="15">
        <v>230</v>
      </c>
      <c r="J23" s="15">
        <f>Table1[[#This Row],[User_Invest_Amount_As_On_Date]]/Table1[[#This Row],[Company_Total_Investment_As_On_Date]]</f>
        <v>6.25E-2</v>
      </c>
      <c r="K23" s="15">
        <f>Table1[[#This Row],[Total_Profit]]*Table1[[#This Row],[Profit_%]]</f>
        <v>14.375</v>
      </c>
      <c r="L23" s="14" t="s">
        <v>39</v>
      </c>
    </row>
    <row r="24" spans="1:12" x14ac:dyDescent="0.25">
      <c r="A24" s="28">
        <v>45992</v>
      </c>
      <c r="B24" s="14" t="s">
        <v>17</v>
      </c>
      <c r="C24" s="14" t="s">
        <v>18</v>
      </c>
      <c r="G24" s="14">
        <v>1500</v>
      </c>
      <c r="H24" s="14">
        <v>8000</v>
      </c>
      <c r="I24" s="15">
        <v>230</v>
      </c>
      <c r="J24" s="15">
        <f>Table1[[#This Row],[User_Invest_Amount_As_On_Date]]/Table1[[#This Row],[Company_Total_Investment_As_On_Date]]</f>
        <v>0.1875</v>
      </c>
      <c r="K24" s="15">
        <f>Table1[[#This Row],[Total_Profit]]*Table1[[#This Row],[Profit_%]]</f>
        <v>43.125</v>
      </c>
      <c r="L24" s="14" t="s">
        <v>39</v>
      </c>
    </row>
    <row r="25" spans="1:12" x14ac:dyDescent="0.25">
      <c r="A25" s="28">
        <v>45992</v>
      </c>
      <c r="B25" s="14" t="s">
        <v>19</v>
      </c>
      <c r="C25" s="14" t="s">
        <v>20</v>
      </c>
      <c r="G25" s="14">
        <v>500</v>
      </c>
      <c r="H25" s="14">
        <v>8000</v>
      </c>
      <c r="I25" s="15">
        <v>230</v>
      </c>
      <c r="J25" s="15">
        <f>Table1[[#This Row],[User_Invest_Amount_As_On_Date]]/Table1[[#This Row],[Company_Total_Investment_As_On_Date]]</f>
        <v>6.25E-2</v>
      </c>
      <c r="K25" s="15">
        <f>Table1[[#This Row],[Total_Profit]]*Table1[[#This Row],[Profit_%]]</f>
        <v>14.375</v>
      </c>
      <c r="L25" s="14" t="s">
        <v>39</v>
      </c>
    </row>
    <row r="26" spans="1:12" x14ac:dyDescent="0.25">
      <c r="A26" s="28">
        <v>45992</v>
      </c>
      <c r="B26" s="14" t="s">
        <v>21</v>
      </c>
      <c r="C26" s="14" t="s">
        <v>22</v>
      </c>
      <c r="G26" s="14">
        <v>2000</v>
      </c>
      <c r="H26" s="14">
        <v>8000</v>
      </c>
      <c r="I26" s="15">
        <v>230</v>
      </c>
      <c r="J26" s="15">
        <f>Table1[[#This Row],[User_Invest_Amount_As_On_Date]]/Table1[[#This Row],[Company_Total_Investment_As_On_Date]]</f>
        <v>0.25</v>
      </c>
      <c r="K26" s="15">
        <f>Table1[[#This Row],[Total_Profit]]*Table1[[#This Row],[Profit_%]]</f>
        <v>57.5</v>
      </c>
      <c r="L26" s="14" t="s">
        <v>39</v>
      </c>
    </row>
    <row r="28" spans="1:12" x14ac:dyDescent="0.25">
      <c r="A28" s="28">
        <v>45993</v>
      </c>
      <c r="B28" s="14" t="s">
        <v>7</v>
      </c>
      <c r="C28" s="14" t="s">
        <v>8</v>
      </c>
      <c r="G28" s="14">
        <v>2000</v>
      </c>
      <c r="H28" s="14">
        <v>8000</v>
      </c>
      <c r="I28" s="15">
        <v>416</v>
      </c>
      <c r="J28" s="15">
        <f>Table1[[#This Row],[User_Invest_Amount_As_On_Date]]/Table1[[#This Row],[Company_Total_Investment_As_On_Date]]</f>
        <v>0.25</v>
      </c>
      <c r="K28" s="15">
        <f>Table1[[#This Row],[Total_Profit]]*Table1[[#This Row],[Profit_%]]</f>
        <v>104</v>
      </c>
      <c r="L28" s="14" t="s">
        <v>39</v>
      </c>
    </row>
    <row r="29" spans="1:12" x14ac:dyDescent="0.25">
      <c r="A29" s="28">
        <v>45993</v>
      </c>
      <c r="B29" s="14" t="s">
        <v>12</v>
      </c>
      <c r="C29" s="14" t="s">
        <v>13</v>
      </c>
      <c r="G29" s="14">
        <v>1500</v>
      </c>
      <c r="H29" s="14">
        <v>8000</v>
      </c>
      <c r="I29" s="15">
        <v>416</v>
      </c>
      <c r="J29" s="15">
        <f>Table1[[#This Row],[User_Invest_Amount_As_On_Date]]/Table1[[#This Row],[Company_Total_Investment_As_On_Date]]</f>
        <v>0.1875</v>
      </c>
      <c r="K29" s="15">
        <f>Table1[[#This Row],[Total_Profit]]*Table1[[#This Row],[Profit_%]]</f>
        <v>78</v>
      </c>
      <c r="L29" s="14" t="s">
        <v>39</v>
      </c>
    </row>
    <row r="30" spans="1:12" x14ac:dyDescent="0.25">
      <c r="A30" s="28">
        <v>45993</v>
      </c>
      <c r="B30" s="14" t="s">
        <v>14</v>
      </c>
      <c r="C30" s="14" t="s">
        <v>15</v>
      </c>
      <c r="G30" s="14">
        <v>500</v>
      </c>
      <c r="H30" s="14">
        <v>8000</v>
      </c>
      <c r="I30" s="15">
        <v>416</v>
      </c>
      <c r="J30" s="15">
        <f>Table1[[#This Row],[User_Invest_Amount_As_On_Date]]/Table1[[#This Row],[Company_Total_Investment_As_On_Date]]</f>
        <v>6.25E-2</v>
      </c>
      <c r="K30" s="15">
        <f>Table1[[#This Row],[Total_Profit]]*Table1[[#This Row],[Profit_%]]</f>
        <v>26</v>
      </c>
      <c r="L30" s="14" t="s">
        <v>39</v>
      </c>
    </row>
    <row r="31" spans="1:12" x14ac:dyDescent="0.25">
      <c r="A31" s="28">
        <v>45993</v>
      </c>
      <c r="B31" s="14" t="s">
        <v>17</v>
      </c>
      <c r="C31" s="14" t="s">
        <v>18</v>
      </c>
      <c r="G31" s="14">
        <v>1500</v>
      </c>
      <c r="H31" s="14">
        <v>8000</v>
      </c>
      <c r="I31" s="15">
        <v>416</v>
      </c>
      <c r="J31" s="15">
        <f>Table1[[#This Row],[User_Invest_Amount_As_On_Date]]/Table1[[#This Row],[Company_Total_Investment_As_On_Date]]</f>
        <v>0.1875</v>
      </c>
      <c r="K31" s="15">
        <f>Table1[[#This Row],[Total_Profit]]*Table1[[#This Row],[Profit_%]]</f>
        <v>78</v>
      </c>
      <c r="L31" s="14" t="s">
        <v>39</v>
      </c>
    </row>
    <row r="32" spans="1:12" x14ac:dyDescent="0.25">
      <c r="A32" s="28">
        <v>45993</v>
      </c>
      <c r="B32" s="14" t="s">
        <v>19</v>
      </c>
      <c r="C32" s="14" t="s">
        <v>20</v>
      </c>
      <c r="G32" s="14">
        <v>500</v>
      </c>
      <c r="H32" s="14">
        <v>8000</v>
      </c>
      <c r="I32" s="15">
        <v>416</v>
      </c>
      <c r="J32" s="15">
        <f>Table1[[#This Row],[User_Invest_Amount_As_On_Date]]/Table1[[#This Row],[Company_Total_Investment_As_On_Date]]</f>
        <v>6.25E-2</v>
      </c>
      <c r="K32" s="15">
        <f>Table1[[#This Row],[Total_Profit]]*Table1[[#This Row],[Profit_%]]</f>
        <v>26</v>
      </c>
      <c r="L32" s="14" t="s">
        <v>39</v>
      </c>
    </row>
    <row r="33" spans="1:12" x14ac:dyDescent="0.25">
      <c r="A33" s="28">
        <v>45993</v>
      </c>
      <c r="B33" s="14" t="s">
        <v>21</v>
      </c>
      <c r="C33" s="14" t="s">
        <v>22</v>
      </c>
      <c r="G33" s="14">
        <v>2000</v>
      </c>
      <c r="H33" s="14">
        <v>8000</v>
      </c>
      <c r="I33" s="15">
        <v>416</v>
      </c>
      <c r="J33" s="15">
        <f>Table1[[#This Row],[User_Invest_Amount_As_On_Date]]/Table1[[#This Row],[Company_Total_Investment_As_On_Date]]</f>
        <v>0.25</v>
      </c>
      <c r="K33" s="15">
        <f>Table1[[#This Row],[Total_Profit]]*Table1[[#This Row],[Profit_%]]</f>
        <v>104</v>
      </c>
      <c r="L33" s="14" t="s">
        <v>39</v>
      </c>
    </row>
    <row r="35" spans="1:12" x14ac:dyDescent="0.25">
      <c r="A35" s="28">
        <v>45994</v>
      </c>
      <c r="B35" s="14" t="s">
        <v>7</v>
      </c>
      <c r="C35" s="14" t="s">
        <v>8</v>
      </c>
      <c r="G35" s="14">
        <v>2000</v>
      </c>
      <c r="H35" s="14">
        <v>10000</v>
      </c>
      <c r="I35" s="15">
        <v>300</v>
      </c>
      <c r="J35" s="15">
        <f>Table1[[#This Row],[User_Invest_Amount_As_On_Date]]/Table1[[#This Row],[Company_Total_Investment_As_On_Date]]</f>
        <v>0.2</v>
      </c>
      <c r="K35" s="15">
        <f>Table1[[#This Row],[Total_Profit]]*Table1[[#This Row],[Profit_%]]</f>
        <v>60</v>
      </c>
      <c r="L35" s="14" t="s">
        <v>39</v>
      </c>
    </row>
    <row r="36" spans="1:12" x14ac:dyDescent="0.25">
      <c r="A36" s="28">
        <v>45994</v>
      </c>
      <c r="B36" s="14" t="s">
        <v>12</v>
      </c>
      <c r="C36" s="14" t="s">
        <v>13</v>
      </c>
      <c r="G36" s="14">
        <v>1500</v>
      </c>
      <c r="H36" s="14">
        <v>10000</v>
      </c>
      <c r="I36" s="15">
        <v>300</v>
      </c>
      <c r="J36" s="15">
        <f>Table1[[#This Row],[User_Invest_Amount_As_On_Date]]/Table1[[#This Row],[Company_Total_Investment_As_On_Date]]</f>
        <v>0.15</v>
      </c>
      <c r="K36" s="15">
        <f>Table1[[#This Row],[Total_Profit]]*Table1[[#This Row],[Profit_%]]</f>
        <v>45</v>
      </c>
      <c r="L36" s="14" t="s">
        <v>39</v>
      </c>
    </row>
    <row r="37" spans="1:12" x14ac:dyDescent="0.25">
      <c r="A37" s="28">
        <v>45994</v>
      </c>
      <c r="B37" s="14" t="s">
        <v>14</v>
      </c>
      <c r="C37" s="14" t="s">
        <v>15</v>
      </c>
      <c r="G37" s="14">
        <v>500</v>
      </c>
      <c r="H37" s="14">
        <v>10000</v>
      </c>
      <c r="I37" s="15">
        <v>300</v>
      </c>
      <c r="J37" s="15">
        <f>Table1[[#This Row],[User_Invest_Amount_As_On_Date]]/Table1[[#This Row],[Company_Total_Investment_As_On_Date]]</f>
        <v>0.05</v>
      </c>
      <c r="K37" s="15">
        <f>Table1[[#This Row],[Total_Profit]]*Table1[[#This Row],[Profit_%]]</f>
        <v>15</v>
      </c>
      <c r="L37" s="14" t="s">
        <v>39</v>
      </c>
    </row>
    <row r="38" spans="1:12" x14ac:dyDescent="0.25">
      <c r="A38" s="28">
        <v>45994</v>
      </c>
      <c r="B38" s="14" t="s">
        <v>17</v>
      </c>
      <c r="C38" s="14" t="s">
        <v>18</v>
      </c>
      <c r="G38" s="14">
        <v>1500</v>
      </c>
      <c r="H38" s="14">
        <v>10000</v>
      </c>
      <c r="I38" s="15">
        <v>300</v>
      </c>
      <c r="J38" s="15">
        <f>Table1[[#This Row],[User_Invest_Amount_As_On_Date]]/Table1[[#This Row],[Company_Total_Investment_As_On_Date]]</f>
        <v>0.15</v>
      </c>
      <c r="K38" s="15">
        <f>Table1[[#This Row],[Total_Profit]]*Table1[[#This Row],[Profit_%]]</f>
        <v>45</v>
      </c>
      <c r="L38" s="14" t="s">
        <v>39</v>
      </c>
    </row>
    <row r="39" spans="1:12" x14ac:dyDescent="0.25">
      <c r="A39" s="28">
        <v>45994</v>
      </c>
      <c r="B39" s="14" t="s">
        <v>19</v>
      </c>
      <c r="C39" s="14" t="s">
        <v>20</v>
      </c>
      <c r="G39" s="14">
        <v>500</v>
      </c>
      <c r="H39" s="14">
        <v>10000</v>
      </c>
      <c r="I39" s="15">
        <v>300</v>
      </c>
      <c r="J39" s="15">
        <f>Table1[[#This Row],[User_Invest_Amount_As_On_Date]]/Table1[[#This Row],[Company_Total_Investment_As_On_Date]]</f>
        <v>0.05</v>
      </c>
      <c r="K39" s="15">
        <f>Table1[[#This Row],[Total_Profit]]*Table1[[#This Row],[Profit_%]]</f>
        <v>15</v>
      </c>
      <c r="L39" s="14" t="s">
        <v>39</v>
      </c>
    </row>
    <row r="40" spans="1:12" x14ac:dyDescent="0.25">
      <c r="A40" s="28">
        <v>45994</v>
      </c>
      <c r="B40" s="14" t="s">
        <v>21</v>
      </c>
      <c r="C40" s="14" t="s">
        <v>22</v>
      </c>
      <c r="G40" s="14">
        <v>2000</v>
      </c>
      <c r="H40" s="14">
        <v>10000</v>
      </c>
      <c r="I40" s="15">
        <v>300</v>
      </c>
      <c r="J40" s="15">
        <f>Table1[[#This Row],[User_Invest_Amount_As_On_Date]]/Table1[[#This Row],[Company_Total_Investment_As_On_Date]]</f>
        <v>0.2</v>
      </c>
      <c r="K40" s="15">
        <f>Table1[[#This Row],[Total_Profit]]*Table1[[#This Row],[Profit_%]]</f>
        <v>60</v>
      </c>
      <c r="L40" s="14" t="s">
        <v>39</v>
      </c>
    </row>
    <row r="41" spans="1:12" x14ac:dyDescent="0.25">
      <c r="A41" s="28">
        <v>45994</v>
      </c>
      <c r="B41" s="14" t="s">
        <v>50</v>
      </c>
      <c r="C41" s="14" t="s">
        <v>51</v>
      </c>
      <c r="D41" s="14">
        <v>2000</v>
      </c>
      <c r="E41" s="14" t="s">
        <v>68</v>
      </c>
      <c r="F41" s="28">
        <v>45993</v>
      </c>
      <c r="G41" s="14">
        <v>2000</v>
      </c>
      <c r="H41" s="14">
        <v>10000</v>
      </c>
      <c r="I41" s="15">
        <v>300</v>
      </c>
      <c r="J41" s="15">
        <f>Table1[[#This Row],[User_Invest_Amount_As_On_Date]]/Table1[[#This Row],[Company_Total_Investment_As_On_Date]]</f>
        <v>0.2</v>
      </c>
      <c r="K41" s="15">
        <f>Table1[[#This Row],[Total_Profit]]*Table1[[#This Row],[Profit_%]]</f>
        <v>60</v>
      </c>
      <c r="L41" s="14" t="s">
        <v>39</v>
      </c>
    </row>
    <row r="43" spans="1:12" x14ac:dyDescent="0.25">
      <c r="A43" s="28">
        <v>45995</v>
      </c>
      <c r="B43" s="14" t="s">
        <v>7</v>
      </c>
      <c r="C43" s="14" t="s">
        <v>8</v>
      </c>
      <c r="G43" s="14">
        <v>2000</v>
      </c>
      <c r="H43" s="14">
        <v>10000</v>
      </c>
      <c r="I43" s="15">
        <v>411</v>
      </c>
      <c r="J43" s="15">
        <f>Table1[[#This Row],[User_Invest_Amount_As_On_Date]]/Table1[[#This Row],[Company_Total_Investment_As_On_Date]]</f>
        <v>0.2</v>
      </c>
      <c r="K43" s="15">
        <f>Table1[[#This Row],[Total_Profit]]*Table1[[#This Row],[Profit_%]]</f>
        <v>82.2</v>
      </c>
      <c r="L43" s="14" t="s">
        <v>39</v>
      </c>
    </row>
    <row r="44" spans="1:12" x14ac:dyDescent="0.25">
      <c r="A44" s="28">
        <v>45995</v>
      </c>
      <c r="B44" s="14" t="s">
        <v>12</v>
      </c>
      <c r="C44" s="14" t="s">
        <v>13</v>
      </c>
      <c r="G44" s="14">
        <v>1500</v>
      </c>
      <c r="H44" s="14">
        <v>10000</v>
      </c>
      <c r="I44" s="15">
        <v>411</v>
      </c>
      <c r="J44" s="15">
        <f>Table1[[#This Row],[User_Invest_Amount_As_On_Date]]/Table1[[#This Row],[Company_Total_Investment_As_On_Date]]</f>
        <v>0.15</v>
      </c>
      <c r="K44" s="15">
        <f>Table1[[#This Row],[Total_Profit]]*Table1[[#This Row],[Profit_%]]</f>
        <v>61.65</v>
      </c>
      <c r="L44" s="14" t="s">
        <v>39</v>
      </c>
    </row>
    <row r="45" spans="1:12" x14ac:dyDescent="0.25">
      <c r="A45" s="28">
        <v>45995</v>
      </c>
      <c r="B45" s="14" t="s">
        <v>14</v>
      </c>
      <c r="C45" s="14" t="s">
        <v>15</v>
      </c>
      <c r="G45" s="14">
        <v>500</v>
      </c>
      <c r="H45" s="14">
        <v>10000</v>
      </c>
      <c r="I45" s="15">
        <v>411</v>
      </c>
      <c r="J45" s="15">
        <f>Table1[[#This Row],[User_Invest_Amount_As_On_Date]]/Table1[[#This Row],[Company_Total_Investment_As_On_Date]]</f>
        <v>0.05</v>
      </c>
      <c r="K45" s="15">
        <f>Table1[[#This Row],[Total_Profit]]*Table1[[#This Row],[Profit_%]]</f>
        <v>20.55</v>
      </c>
      <c r="L45" s="14" t="s">
        <v>39</v>
      </c>
    </row>
    <row r="46" spans="1:12" x14ac:dyDescent="0.25">
      <c r="A46" s="28">
        <v>45995</v>
      </c>
      <c r="B46" s="14" t="s">
        <v>17</v>
      </c>
      <c r="C46" s="14" t="s">
        <v>18</v>
      </c>
      <c r="G46" s="14">
        <v>1500</v>
      </c>
      <c r="H46" s="14">
        <v>10000</v>
      </c>
      <c r="I46" s="15">
        <v>411</v>
      </c>
      <c r="J46" s="15">
        <f>Table1[[#This Row],[User_Invest_Amount_As_On_Date]]/Table1[[#This Row],[Company_Total_Investment_As_On_Date]]</f>
        <v>0.15</v>
      </c>
      <c r="K46" s="15">
        <f>Table1[[#This Row],[Total_Profit]]*Table1[[#This Row],[Profit_%]]</f>
        <v>61.65</v>
      </c>
      <c r="L46" s="14" t="s">
        <v>39</v>
      </c>
    </row>
    <row r="47" spans="1:12" x14ac:dyDescent="0.25">
      <c r="A47" s="28">
        <v>45995</v>
      </c>
      <c r="B47" s="14" t="s">
        <v>19</v>
      </c>
      <c r="C47" s="14" t="s">
        <v>20</v>
      </c>
      <c r="G47" s="14">
        <v>500</v>
      </c>
      <c r="H47" s="14">
        <v>10000</v>
      </c>
      <c r="I47" s="15">
        <v>411</v>
      </c>
      <c r="J47" s="15">
        <f>Table1[[#This Row],[User_Invest_Amount_As_On_Date]]/Table1[[#This Row],[Company_Total_Investment_As_On_Date]]</f>
        <v>0.05</v>
      </c>
      <c r="K47" s="15">
        <f>Table1[[#This Row],[Total_Profit]]*Table1[[#This Row],[Profit_%]]</f>
        <v>20.55</v>
      </c>
      <c r="L47" s="14" t="s">
        <v>39</v>
      </c>
    </row>
    <row r="48" spans="1:12" x14ac:dyDescent="0.25">
      <c r="A48" s="28">
        <v>45995</v>
      </c>
      <c r="B48" s="14" t="s">
        <v>21</v>
      </c>
      <c r="C48" s="14" t="s">
        <v>22</v>
      </c>
      <c r="G48" s="14">
        <v>2000</v>
      </c>
      <c r="H48" s="14">
        <v>10000</v>
      </c>
      <c r="I48" s="15">
        <v>411</v>
      </c>
      <c r="J48" s="15">
        <f>Table1[[#This Row],[User_Invest_Amount_As_On_Date]]/Table1[[#This Row],[Company_Total_Investment_As_On_Date]]</f>
        <v>0.2</v>
      </c>
      <c r="K48" s="15">
        <f>Table1[[#This Row],[Total_Profit]]*Table1[[#This Row],[Profit_%]]</f>
        <v>82.2</v>
      </c>
      <c r="L48" s="14" t="s">
        <v>39</v>
      </c>
    </row>
    <row r="49" spans="1:12" x14ac:dyDescent="0.25">
      <c r="A49" s="28">
        <v>45995</v>
      </c>
      <c r="B49" s="14" t="s">
        <v>50</v>
      </c>
      <c r="C49" s="14" t="s">
        <v>51</v>
      </c>
      <c r="G49" s="14">
        <v>2000</v>
      </c>
      <c r="H49" s="14">
        <v>10000</v>
      </c>
      <c r="I49" s="15">
        <v>411</v>
      </c>
      <c r="J49" s="15">
        <f>Table1[[#This Row],[User_Invest_Amount_As_On_Date]]/Table1[[#This Row],[Company_Total_Investment_As_On_Date]]</f>
        <v>0.2</v>
      </c>
      <c r="K49" s="15">
        <f>Table1[[#This Row],[Total_Profit]]*Table1[[#This Row],[Profit_%]]</f>
        <v>82.2</v>
      </c>
      <c r="L49" s="14" t="s">
        <v>39</v>
      </c>
    </row>
    <row r="51" spans="1:12" x14ac:dyDescent="0.25">
      <c r="A51" s="28">
        <v>45996</v>
      </c>
      <c r="B51" s="14" t="s">
        <v>7</v>
      </c>
      <c r="C51" s="14" t="s">
        <v>8</v>
      </c>
      <c r="G51" s="14">
        <v>2000</v>
      </c>
      <c r="H51" s="14">
        <v>10000</v>
      </c>
      <c r="I51" s="15">
        <v>-758</v>
      </c>
      <c r="J51" s="15">
        <f>Table1[[#This Row],[User_Invest_Amount_As_On_Date]]/Table1[[#This Row],[Company_Total_Investment_As_On_Date]]</f>
        <v>0.2</v>
      </c>
      <c r="K51" s="15">
        <f>Table1[[#This Row],[Total_Profit]]*Table1[[#This Row],[Profit_%]]</f>
        <v>-151.6</v>
      </c>
      <c r="L51" s="14" t="s">
        <v>34</v>
      </c>
    </row>
    <row r="52" spans="1:12" x14ac:dyDescent="0.25">
      <c r="A52" s="28">
        <v>45996</v>
      </c>
      <c r="B52" s="14" t="s">
        <v>12</v>
      </c>
      <c r="C52" s="14" t="s">
        <v>13</v>
      </c>
      <c r="G52" s="14">
        <v>1500</v>
      </c>
      <c r="H52" s="14">
        <v>10000</v>
      </c>
      <c r="I52" s="15">
        <v>-758</v>
      </c>
      <c r="J52" s="15">
        <f>Table1[[#This Row],[User_Invest_Amount_As_On_Date]]/Table1[[#This Row],[Company_Total_Investment_As_On_Date]]</f>
        <v>0.15</v>
      </c>
      <c r="K52" s="15">
        <f>Table1[[#This Row],[Total_Profit]]*Table1[[#This Row],[Profit_%]]</f>
        <v>-113.7</v>
      </c>
      <c r="L52" s="14" t="s">
        <v>34</v>
      </c>
    </row>
    <row r="53" spans="1:12" x14ac:dyDescent="0.25">
      <c r="A53" s="28">
        <v>45996</v>
      </c>
      <c r="B53" s="14" t="s">
        <v>14</v>
      </c>
      <c r="C53" s="14" t="s">
        <v>15</v>
      </c>
      <c r="G53" s="14">
        <v>500</v>
      </c>
      <c r="H53" s="14">
        <v>10000</v>
      </c>
      <c r="I53" s="15">
        <v>-758</v>
      </c>
      <c r="J53" s="15">
        <f>Table1[[#This Row],[User_Invest_Amount_As_On_Date]]/Table1[[#This Row],[Company_Total_Investment_As_On_Date]]</f>
        <v>0.05</v>
      </c>
      <c r="K53" s="15">
        <f>Table1[[#This Row],[Total_Profit]]*Table1[[#This Row],[Profit_%]]</f>
        <v>-37.9</v>
      </c>
      <c r="L53" s="14" t="s">
        <v>34</v>
      </c>
    </row>
    <row r="54" spans="1:12" x14ac:dyDescent="0.25">
      <c r="A54" s="28">
        <v>45996</v>
      </c>
      <c r="B54" s="14" t="s">
        <v>17</v>
      </c>
      <c r="C54" s="14" t="s">
        <v>18</v>
      </c>
      <c r="G54" s="14">
        <v>1500</v>
      </c>
      <c r="H54" s="14">
        <v>10000</v>
      </c>
      <c r="I54" s="15">
        <v>-758</v>
      </c>
      <c r="J54" s="15">
        <f>Table1[[#This Row],[User_Invest_Amount_As_On_Date]]/Table1[[#This Row],[Company_Total_Investment_As_On_Date]]</f>
        <v>0.15</v>
      </c>
      <c r="K54" s="15">
        <f>Table1[[#This Row],[Total_Profit]]*Table1[[#This Row],[Profit_%]]</f>
        <v>-113.7</v>
      </c>
      <c r="L54" s="14" t="s">
        <v>34</v>
      </c>
    </row>
    <row r="55" spans="1:12" x14ac:dyDescent="0.25">
      <c r="A55" s="28">
        <v>45996</v>
      </c>
      <c r="B55" s="14" t="s">
        <v>19</v>
      </c>
      <c r="C55" s="14" t="s">
        <v>20</v>
      </c>
      <c r="G55" s="14">
        <v>500</v>
      </c>
      <c r="H55" s="14">
        <v>10000</v>
      </c>
      <c r="I55" s="15">
        <v>-758</v>
      </c>
      <c r="J55" s="15">
        <f>Table1[[#This Row],[User_Invest_Amount_As_On_Date]]/Table1[[#This Row],[Company_Total_Investment_As_On_Date]]</f>
        <v>0.05</v>
      </c>
      <c r="K55" s="15">
        <f>Table1[[#This Row],[Total_Profit]]*Table1[[#This Row],[Profit_%]]</f>
        <v>-37.9</v>
      </c>
      <c r="L55" s="14" t="s">
        <v>34</v>
      </c>
    </row>
    <row r="56" spans="1:12" x14ac:dyDescent="0.25">
      <c r="A56" s="28">
        <v>45996</v>
      </c>
      <c r="B56" s="14" t="s">
        <v>21</v>
      </c>
      <c r="C56" s="14" t="s">
        <v>22</v>
      </c>
      <c r="G56" s="14">
        <v>2000</v>
      </c>
      <c r="H56" s="14">
        <v>10000</v>
      </c>
      <c r="I56" s="15">
        <v>-758</v>
      </c>
      <c r="J56" s="15">
        <f>Table1[[#This Row],[User_Invest_Amount_As_On_Date]]/Table1[[#This Row],[Company_Total_Investment_As_On_Date]]</f>
        <v>0.2</v>
      </c>
      <c r="K56" s="15">
        <f>Table1[[#This Row],[Total_Profit]]*Table1[[#This Row],[Profit_%]]</f>
        <v>-151.6</v>
      </c>
      <c r="L56" s="14" t="s">
        <v>34</v>
      </c>
    </row>
    <row r="57" spans="1:12" x14ac:dyDescent="0.25">
      <c r="A57" s="28">
        <v>45996</v>
      </c>
      <c r="B57" s="14" t="s">
        <v>50</v>
      </c>
      <c r="C57" s="14" t="s">
        <v>51</v>
      </c>
      <c r="G57" s="14">
        <v>2000</v>
      </c>
      <c r="H57" s="14">
        <v>10000</v>
      </c>
      <c r="I57" s="15">
        <v>-758</v>
      </c>
      <c r="J57" s="15">
        <f>Table1[[#This Row],[User_Invest_Amount_As_On_Date]]/Table1[[#This Row],[Company_Total_Investment_As_On_Date]]</f>
        <v>0.2</v>
      </c>
      <c r="K57" s="15">
        <f>Table1[[#This Row],[Total_Profit]]*Table1[[#This Row],[Profit_%]]</f>
        <v>-151.6</v>
      </c>
      <c r="L57" s="14" t="s">
        <v>34</v>
      </c>
    </row>
    <row r="59" spans="1:12" x14ac:dyDescent="0.25">
      <c r="A59" s="28">
        <v>45998</v>
      </c>
      <c r="B59" s="14" t="s">
        <v>7</v>
      </c>
      <c r="C59" s="14" t="s">
        <v>8</v>
      </c>
      <c r="G59" s="14">
        <v>2000</v>
      </c>
      <c r="H59" s="14">
        <v>10000</v>
      </c>
      <c r="I59" s="15">
        <v>91</v>
      </c>
      <c r="J59" s="15">
        <f>Table1[[#This Row],[User_Invest_Amount_As_On_Date]]/Table1[[#This Row],[Company_Total_Investment_As_On_Date]]</f>
        <v>0.2</v>
      </c>
      <c r="K59" s="15">
        <f>Table1[[#This Row],[Total_Profit]]*Table1[[#This Row],[Profit_%]]</f>
        <v>18.2</v>
      </c>
      <c r="L59" s="14" t="s">
        <v>39</v>
      </c>
    </row>
    <row r="60" spans="1:12" x14ac:dyDescent="0.25">
      <c r="A60" s="28">
        <v>45998</v>
      </c>
      <c r="B60" s="14" t="s">
        <v>12</v>
      </c>
      <c r="C60" s="14" t="s">
        <v>13</v>
      </c>
      <c r="G60" s="14">
        <v>1500</v>
      </c>
      <c r="H60" s="14">
        <v>10000</v>
      </c>
      <c r="I60" s="15">
        <v>91</v>
      </c>
      <c r="J60" s="15">
        <f>Table1[[#This Row],[User_Invest_Amount_As_On_Date]]/Table1[[#This Row],[Company_Total_Investment_As_On_Date]]</f>
        <v>0.15</v>
      </c>
      <c r="K60" s="15">
        <f>Table1[[#This Row],[Total_Profit]]*Table1[[#This Row],[Profit_%]]</f>
        <v>13.65</v>
      </c>
      <c r="L60" s="14" t="s">
        <v>39</v>
      </c>
    </row>
    <row r="61" spans="1:12" x14ac:dyDescent="0.25">
      <c r="A61" s="28">
        <v>45998</v>
      </c>
      <c r="B61" s="14" t="s">
        <v>14</v>
      </c>
      <c r="C61" s="14" t="s">
        <v>15</v>
      </c>
      <c r="G61" s="14">
        <v>500</v>
      </c>
      <c r="H61" s="14">
        <v>10000</v>
      </c>
      <c r="I61" s="15">
        <v>91</v>
      </c>
      <c r="J61" s="15">
        <f>Table1[[#This Row],[User_Invest_Amount_As_On_Date]]/Table1[[#This Row],[Company_Total_Investment_As_On_Date]]</f>
        <v>0.05</v>
      </c>
      <c r="K61" s="15">
        <f>Table1[[#This Row],[Total_Profit]]*Table1[[#This Row],[Profit_%]]</f>
        <v>4.55</v>
      </c>
      <c r="L61" s="14" t="s">
        <v>39</v>
      </c>
    </row>
    <row r="62" spans="1:12" x14ac:dyDescent="0.25">
      <c r="A62" s="28">
        <v>45998</v>
      </c>
      <c r="B62" s="14" t="s">
        <v>17</v>
      </c>
      <c r="C62" s="14" t="s">
        <v>18</v>
      </c>
      <c r="G62" s="14">
        <v>1500</v>
      </c>
      <c r="H62" s="14">
        <v>10000</v>
      </c>
      <c r="I62" s="15">
        <v>91</v>
      </c>
      <c r="J62" s="15">
        <f>Table1[[#This Row],[User_Invest_Amount_As_On_Date]]/Table1[[#This Row],[Company_Total_Investment_As_On_Date]]</f>
        <v>0.15</v>
      </c>
      <c r="K62" s="15">
        <f>Table1[[#This Row],[Total_Profit]]*Table1[[#This Row],[Profit_%]]</f>
        <v>13.65</v>
      </c>
      <c r="L62" s="14" t="s">
        <v>39</v>
      </c>
    </row>
    <row r="63" spans="1:12" x14ac:dyDescent="0.25">
      <c r="A63" s="28">
        <v>45998</v>
      </c>
      <c r="B63" s="14" t="s">
        <v>19</v>
      </c>
      <c r="C63" s="14" t="s">
        <v>20</v>
      </c>
      <c r="G63" s="14">
        <v>500</v>
      </c>
      <c r="H63" s="14">
        <v>10000</v>
      </c>
      <c r="I63" s="15">
        <v>91</v>
      </c>
      <c r="J63" s="15">
        <f>Table1[[#This Row],[User_Invest_Amount_As_On_Date]]/Table1[[#This Row],[Company_Total_Investment_As_On_Date]]</f>
        <v>0.05</v>
      </c>
      <c r="K63" s="15">
        <f>Table1[[#This Row],[Total_Profit]]*Table1[[#This Row],[Profit_%]]</f>
        <v>4.55</v>
      </c>
      <c r="L63" s="14" t="s">
        <v>39</v>
      </c>
    </row>
    <row r="64" spans="1:12" x14ac:dyDescent="0.25">
      <c r="A64" s="28">
        <v>45998</v>
      </c>
      <c r="B64" s="14" t="s">
        <v>21</v>
      </c>
      <c r="C64" s="14" t="s">
        <v>22</v>
      </c>
      <c r="G64" s="14">
        <v>2000</v>
      </c>
      <c r="H64" s="14">
        <v>10000</v>
      </c>
      <c r="I64" s="15">
        <v>91</v>
      </c>
      <c r="J64" s="15">
        <f>Table1[[#This Row],[User_Invest_Amount_As_On_Date]]/Table1[[#This Row],[Company_Total_Investment_As_On_Date]]</f>
        <v>0.2</v>
      </c>
      <c r="K64" s="15">
        <f>Table1[[#This Row],[Total_Profit]]*Table1[[#This Row],[Profit_%]]</f>
        <v>18.2</v>
      </c>
      <c r="L64" s="14" t="s">
        <v>39</v>
      </c>
    </row>
    <row r="65" spans="1:12" x14ac:dyDescent="0.25">
      <c r="A65" s="28">
        <v>45998</v>
      </c>
      <c r="B65" s="14" t="s">
        <v>50</v>
      </c>
      <c r="C65" s="14" t="s">
        <v>51</v>
      </c>
      <c r="G65" s="14">
        <v>2000</v>
      </c>
      <c r="H65" s="14">
        <v>10000</v>
      </c>
      <c r="I65" s="15">
        <v>91</v>
      </c>
      <c r="J65" s="15">
        <f>Table1[[#This Row],[User_Invest_Amount_As_On_Date]]/Table1[[#This Row],[Company_Total_Investment_As_On_Date]]</f>
        <v>0.2</v>
      </c>
      <c r="K65" s="15">
        <f>Table1[[#This Row],[Total_Profit]]*Table1[[#This Row],[Profit_%]]</f>
        <v>18.2</v>
      </c>
      <c r="L65" s="14" t="s">
        <v>39</v>
      </c>
    </row>
    <row r="66" spans="1:12" x14ac:dyDescent="0.25">
      <c r="I66" s="15"/>
    </row>
    <row r="67" spans="1:12" x14ac:dyDescent="0.25">
      <c r="A67" s="28">
        <v>45999</v>
      </c>
      <c r="B67" s="14" t="s">
        <v>7</v>
      </c>
      <c r="C67" s="14" t="s">
        <v>8</v>
      </c>
      <c r="G67" s="14">
        <v>2000</v>
      </c>
      <c r="H67" s="14">
        <v>10000</v>
      </c>
      <c r="I67" s="15">
        <v>703</v>
      </c>
      <c r="J67" s="15">
        <f>Table1[[#This Row],[User_Invest_Amount_As_On_Date]]/Table1[[#This Row],[Company_Total_Investment_As_On_Date]]</f>
        <v>0.2</v>
      </c>
      <c r="K67" s="15">
        <f>Table1[[#This Row],[Total_Profit]]*Table1[[#This Row],[Profit_%]]</f>
        <v>140.6</v>
      </c>
      <c r="L67" s="14" t="s">
        <v>39</v>
      </c>
    </row>
    <row r="68" spans="1:12" x14ac:dyDescent="0.25">
      <c r="A68" s="28">
        <v>45999</v>
      </c>
      <c r="B68" s="14" t="s">
        <v>12</v>
      </c>
      <c r="C68" s="14" t="s">
        <v>13</v>
      </c>
      <c r="G68" s="14">
        <v>1500</v>
      </c>
      <c r="H68" s="14">
        <v>10000</v>
      </c>
      <c r="I68" s="15">
        <v>703</v>
      </c>
      <c r="J68" s="15">
        <f>Table1[[#This Row],[User_Invest_Amount_As_On_Date]]/Table1[[#This Row],[Company_Total_Investment_As_On_Date]]</f>
        <v>0.15</v>
      </c>
      <c r="K68" s="15">
        <f>Table1[[#This Row],[Total_Profit]]*Table1[[#This Row],[Profit_%]]</f>
        <v>105.45</v>
      </c>
      <c r="L68" s="14" t="s">
        <v>39</v>
      </c>
    </row>
    <row r="69" spans="1:12" x14ac:dyDescent="0.25">
      <c r="A69" s="28">
        <v>45999</v>
      </c>
      <c r="B69" s="14" t="s">
        <v>14</v>
      </c>
      <c r="C69" s="14" t="s">
        <v>15</v>
      </c>
      <c r="G69" s="14">
        <v>500</v>
      </c>
      <c r="H69" s="14">
        <v>10000</v>
      </c>
      <c r="I69" s="15">
        <v>703</v>
      </c>
      <c r="J69" s="15">
        <f>Table1[[#This Row],[User_Invest_Amount_As_On_Date]]/Table1[[#This Row],[Company_Total_Investment_As_On_Date]]</f>
        <v>0.05</v>
      </c>
      <c r="K69" s="15">
        <f>Table1[[#This Row],[Total_Profit]]*Table1[[#This Row],[Profit_%]]</f>
        <v>35.15</v>
      </c>
      <c r="L69" s="14" t="s">
        <v>39</v>
      </c>
    </row>
    <row r="70" spans="1:12" x14ac:dyDescent="0.25">
      <c r="A70" s="28">
        <v>45999</v>
      </c>
      <c r="B70" s="14" t="s">
        <v>17</v>
      </c>
      <c r="C70" s="14" t="s">
        <v>18</v>
      </c>
      <c r="G70" s="14">
        <v>1500</v>
      </c>
      <c r="H70" s="14">
        <v>10000</v>
      </c>
      <c r="I70" s="15">
        <v>703</v>
      </c>
      <c r="J70" s="15">
        <f>Table1[[#This Row],[User_Invest_Amount_As_On_Date]]/Table1[[#This Row],[Company_Total_Investment_As_On_Date]]</f>
        <v>0.15</v>
      </c>
      <c r="K70" s="15">
        <f>Table1[[#This Row],[Total_Profit]]*Table1[[#This Row],[Profit_%]]</f>
        <v>105.45</v>
      </c>
      <c r="L70" s="14" t="s">
        <v>39</v>
      </c>
    </row>
    <row r="71" spans="1:12" x14ac:dyDescent="0.25">
      <c r="A71" s="28">
        <v>45999</v>
      </c>
      <c r="B71" s="14" t="s">
        <v>19</v>
      </c>
      <c r="C71" s="14" t="s">
        <v>20</v>
      </c>
      <c r="G71" s="14">
        <v>500</v>
      </c>
      <c r="H71" s="14">
        <v>10000</v>
      </c>
      <c r="I71" s="15">
        <v>703</v>
      </c>
      <c r="J71" s="15">
        <f>Table1[[#This Row],[User_Invest_Amount_As_On_Date]]/Table1[[#This Row],[Company_Total_Investment_As_On_Date]]</f>
        <v>0.05</v>
      </c>
      <c r="K71" s="15">
        <f>Table1[[#This Row],[Total_Profit]]*Table1[[#This Row],[Profit_%]]</f>
        <v>35.15</v>
      </c>
      <c r="L71" s="14" t="s">
        <v>39</v>
      </c>
    </row>
    <row r="72" spans="1:12" x14ac:dyDescent="0.25">
      <c r="A72" s="28">
        <v>45999</v>
      </c>
      <c r="B72" s="14" t="s">
        <v>21</v>
      </c>
      <c r="C72" s="14" t="s">
        <v>22</v>
      </c>
      <c r="G72" s="14">
        <v>2000</v>
      </c>
      <c r="H72" s="14">
        <v>10000</v>
      </c>
      <c r="I72" s="15">
        <v>703</v>
      </c>
      <c r="J72" s="15">
        <f>Table1[[#This Row],[User_Invest_Amount_As_On_Date]]/Table1[[#This Row],[Company_Total_Investment_As_On_Date]]</f>
        <v>0.2</v>
      </c>
      <c r="K72" s="15">
        <f>Table1[[#This Row],[Total_Profit]]*Table1[[#This Row],[Profit_%]]</f>
        <v>140.6</v>
      </c>
      <c r="L72" s="14" t="s">
        <v>39</v>
      </c>
    </row>
    <row r="73" spans="1:12" x14ac:dyDescent="0.25">
      <c r="A73" s="28">
        <v>45999</v>
      </c>
      <c r="B73" s="14" t="s">
        <v>50</v>
      </c>
      <c r="C73" s="14" t="s">
        <v>51</v>
      </c>
      <c r="G73" s="14">
        <v>2000</v>
      </c>
      <c r="H73" s="14">
        <v>10000</v>
      </c>
      <c r="I73" s="15">
        <v>703</v>
      </c>
      <c r="J73" s="15">
        <f>Table1[[#This Row],[User_Invest_Amount_As_On_Date]]/Table1[[#This Row],[Company_Total_Investment_As_On_Date]]</f>
        <v>0.2</v>
      </c>
      <c r="K73" s="15">
        <f>Table1[[#This Row],[Total_Profit]]*Table1[[#This Row],[Profit_%]]</f>
        <v>140.6</v>
      </c>
      <c r="L73" s="14" t="s">
        <v>39</v>
      </c>
    </row>
    <row r="74" spans="1:12" x14ac:dyDescent="0.25">
      <c r="I74" s="15"/>
    </row>
    <row r="75" spans="1:12" x14ac:dyDescent="0.25">
      <c r="A75" s="28">
        <v>46000</v>
      </c>
      <c r="B75" s="14" t="s">
        <v>7</v>
      </c>
      <c r="C75" s="14" t="s">
        <v>8</v>
      </c>
      <c r="G75" s="14">
        <v>2000</v>
      </c>
      <c r="H75" s="14">
        <v>10000</v>
      </c>
      <c r="I75" s="15">
        <v>723</v>
      </c>
      <c r="J75" s="15">
        <f>Table1[[#This Row],[User_Invest_Amount_As_On_Date]]/Table1[[#This Row],[Company_Total_Investment_As_On_Date]]</f>
        <v>0.2</v>
      </c>
      <c r="K75" s="15">
        <f>Table1[[#This Row],[Total_Profit]]*Table1[[#This Row],[Profit_%]]</f>
        <v>144.6</v>
      </c>
      <c r="L75" s="14" t="s">
        <v>39</v>
      </c>
    </row>
    <row r="76" spans="1:12" x14ac:dyDescent="0.25">
      <c r="A76" s="28">
        <v>46000</v>
      </c>
      <c r="B76" s="14" t="s">
        <v>12</v>
      </c>
      <c r="C76" s="14" t="s">
        <v>13</v>
      </c>
      <c r="G76" s="14">
        <v>1500</v>
      </c>
      <c r="H76" s="14">
        <v>10000</v>
      </c>
      <c r="I76" s="15">
        <v>723</v>
      </c>
      <c r="J76" s="15">
        <f>Table1[[#This Row],[User_Invest_Amount_As_On_Date]]/Table1[[#This Row],[Company_Total_Investment_As_On_Date]]</f>
        <v>0.15</v>
      </c>
      <c r="K76" s="15">
        <f>Table1[[#This Row],[Total_Profit]]*Table1[[#This Row],[Profit_%]]</f>
        <v>108.45</v>
      </c>
      <c r="L76" s="14" t="s">
        <v>39</v>
      </c>
    </row>
    <row r="77" spans="1:12" x14ac:dyDescent="0.25">
      <c r="A77" s="28">
        <v>46000</v>
      </c>
      <c r="B77" s="14" t="s">
        <v>14</v>
      </c>
      <c r="C77" s="14" t="s">
        <v>15</v>
      </c>
      <c r="G77" s="14">
        <v>500</v>
      </c>
      <c r="H77" s="14">
        <v>10000</v>
      </c>
      <c r="I77" s="15">
        <v>723</v>
      </c>
      <c r="J77" s="15">
        <f>Table1[[#This Row],[User_Invest_Amount_As_On_Date]]/Table1[[#This Row],[Company_Total_Investment_As_On_Date]]</f>
        <v>0.05</v>
      </c>
      <c r="K77" s="15">
        <f>Table1[[#This Row],[Total_Profit]]*Table1[[#This Row],[Profit_%]]</f>
        <v>36.15</v>
      </c>
      <c r="L77" s="14" t="s">
        <v>39</v>
      </c>
    </row>
    <row r="78" spans="1:12" x14ac:dyDescent="0.25">
      <c r="A78" s="28">
        <v>46000</v>
      </c>
      <c r="B78" s="14" t="s">
        <v>17</v>
      </c>
      <c r="C78" s="14" t="s">
        <v>18</v>
      </c>
      <c r="G78" s="14">
        <v>1500</v>
      </c>
      <c r="H78" s="14">
        <v>10000</v>
      </c>
      <c r="I78" s="15">
        <v>723</v>
      </c>
      <c r="J78" s="15">
        <f>Table1[[#This Row],[User_Invest_Amount_As_On_Date]]/Table1[[#This Row],[Company_Total_Investment_As_On_Date]]</f>
        <v>0.15</v>
      </c>
      <c r="K78" s="15">
        <f>Table1[[#This Row],[Total_Profit]]*Table1[[#This Row],[Profit_%]]</f>
        <v>108.45</v>
      </c>
      <c r="L78" s="14" t="s">
        <v>39</v>
      </c>
    </row>
    <row r="79" spans="1:12" x14ac:dyDescent="0.25">
      <c r="A79" s="28">
        <v>46000</v>
      </c>
      <c r="B79" s="14" t="s">
        <v>19</v>
      </c>
      <c r="C79" s="14" t="s">
        <v>20</v>
      </c>
      <c r="G79" s="14">
        <v>500</v>
      </c>
      <c r="H79" s="14">
        <v>10000</v>
      </c>
      <c r="I79" s="15">
        <v>723</v>
      </c>
      <c r="J79" s="15">
        <f>Table1[[#This Row],[User_Invest_Amount_As_On_Date]]/Table1[[#This Row],[Company_Total_Investment_As_On_Date]]</f>
        <v>0.05</v>
      </c>
      <c r="K79" s="15">
        <f>Table1[[#This Row],[Total_Profit]]*Table1[[#This Row],[Profit_%]]</f>
        <v>36.15</v>
      </c>
      <c r="L79" s="14" t="s">
        <v>39</v>
      </c>
    </row>
    <row r="80" spans="1:12" x14ac:dyDescent="0.25">
      <c r="A80" s="28">
        <v>46000</v>
      </c>
      <c r="B80" s="14" t="s">
        <v>21</v>
      </c>
      <c r="C80" s="14" t="s">
        <v>22</v>
      </c>
      <c r="G80" s="14">
        <v>2000</v>
      </c>
      <c r="H80" s="14">
        <v>10000</v>
      </c>
      <c r="I80" s="15">
        <v>723</v>
      </c>
      <c r="J80" s="15">
        <f>Table1[[#This Row],[User_Invest_Amount_As_On_Date]]/Table1[[#This Row],[Company_Total_Investment_As_On_Date]]</f>
        <v>0.2</v>
      </c>
      <c r="K80" s="15">
        <f>Table1[[#This Row],[Total_Profit]]*Table1[[#This Row],[Profit_%]]</f>
        <v>144.6</v>
      </c>
      <c r="L80" s="14" t="s">
        <v>39</v>
      </c>
    </row>
    <row r="81" spans="1:12" x14ac:dyDescent="0.25">
      <c r="A81" s="28">
        <v>46000</v>
      </c>
      <c r="B81" s="14" t="s">
        <v>50</v>
      </c>
      <c r="C81" s="14" t="s">
        <v>51</v>
      </c>
      <c r="G81" s="14">
        <v>2000</v>
      </c>
      <c r="H81" s="14">
        <v>10000</v>
      </c>
      <c r="I81" s="15">
        <v>723</v>
      </c>
      <c r="J81" s="15">
        <f>Table1[[#This Row],[User_Invest_Amount_As_On_Date]]/Table1[[#This Row],[Company_Total_Investment_As_On_Date]]</f>
        <v>0.2</v>
      </c>
      <c r="K81" s="15">
        <f>Table1[[#This Row],[Total_Profit]]*Table1[[#This Row],[Profit_%]]</f>
        <v>144.6</v>
      </c>
      <c r="L81" s="14" t="s">
        <v>39</v>
      </c>
    </row>
    <row r="82" spans="1:12" x14ac:dyDescent="0.25">
      <c r="I82" s="15"/>
    </row>
    <row r="83" spans="1:12" x14ac:dyDescent="0.25">
      <c r="A83" s="28">
        <v>46001</v>
      </c>
      <c r="B83" s="14" t="s">
        <v>7</v>
      </c>
      <c r="C83" s="14" t="s">
        <v>8</v>
      </c>
      <c r="G83" s="14">
        <v>2000</v>
      </c>
      <c r="H83" s="14">
        <v>11000</v>
      </c>
      <c r="I83" s="15">
        <v>190</v>
      </c>
      <c r="J83" s="15">
        <f>Table1[[#This Row],[User_Invest_Amount_As_On_Date]]/Table1[[#This Row],[Company_Total_Investment_As_On_Date]]</f>
        <v>0.18181818181818182</v>
      </c>
      <c r="K83" s="15">
        <f>Table1[[#This Row],[Total_Profit]]*Table1[[#This Row],[Profit_%]]</f>
        <v>34.545454545454547</v>
      </c>
      <c r="L83" s="14" t="s">
        <v>39</v>
      </c>
    </row>
    <row r="84" spans="1:12" x14ac:dyDescent="0.25">
      <c r="A84" s="28">
        <v>46001</v>
      </c>
      <c r="B84" s="14" t="s">
        <v>12</v>
      </c>
      <c r="C84" s="14" t="s">
        <v>13</v>
      </c>
      <c r="G84" s="14">
        <v>1500</v>
      </c>
      <c r="H84" s="14">
        <v>11000</v>
      </c>
      <c r="I84" s="15">
        <v>190</v>
      </c>
      <c r="J84" s="15">
        <f>Table1[[#This Row],[User_Invest_Amount_As_On_Date]]/Table1[[#This Row],[Company_Total_Investment_As_On_Date]]</f>
        <v>0.13636363636363635</v>
      </c>
      <c r="K84" s="15">
        <f>Table1[[#This Row],[Total_Profit]]*Table1[[#This Row],[Profit_%]]</f>
        <v>25.909090909090907</v>
      </c>
      <c r="L84" s="14" t="s">
        <v>39</v>
      </c>
    </row>
    <row r="85" spans="1:12" x14ac:dyDescent="0.25">
      <c r="A85" s="28">
        <v>46001</v>
      </c>
      <c r="B85" s="14" t="s">
        <v>14</v>
      </c>
      <c r="C85" s="14" t="s">
        <v>15</v>
      </c>
      <c r="G85" s="14">
        <v>500</v>
      </c>
      <c r="H85" s="14">
        <v>11000</v>
      </c>
      <c r="I85" s="15">
        <v>190</v>
      </c>
      <c r="J85" s="15">
        <f>Table1[[#This Row],[User_Invest_Amount_As_On_Date]]/Table1[[#This Row],[Company_Total_Investment_As_On_Date]]</f>
        <v>4.5454545454545456E-2</v>
      </c>
      <c r="K85" s="15">
        <f>Table1[[#This Row],[Total_Profit]]*Table1[[#This Row],[Profit_%]]</f>
        <v>8.6363636363636367</v>
      </c>
      <c r="L85" s="14" t="s">
        <v>39</v>
      </c>
    </row>
    <row r="86" spans="1:12" x14ac:dyDescent="0.25">
      <c r="A86" s="28">
        <v>46001</v>
      </c>
      <c r="B86" s="14" t="s">
        <v>17</v>
      </c>
      <c r="C86" s="14" t="s">
        <v>18</v>
      </c>
      <c r="G86" s="14">
        <v>1500</v>
      </c>
      <c r="H86" s="14">
        <v>11000</v>
      </c>
      <c r="I86" s="15">
        <v>190</v>
      </c>
      <c r="J86" s="15">
        <f>Table1[[#This Row],[User_Invest_Amount_As_On_Date]]/Table1[[#This Row],[Company_Total_Investment_As_On_Date]]</f>
        <v>0.13636363636363635</v>
      </c>
      <c r="K86" s="15">
        <f>Table1[[#This Row],[Total_Profit]]*Table1[[#This Row],[Profit_%]]</f>
        <v>25.909090909090907</v>
      </c>
      <c r="L86" s="14" t="s">
        <v>39</v>
      </c>
    </row>
    <row r="87" spans="1:12" x14ac:dyDescent="0.25">
      <c r="A87" s="28">
        <v>46001</v>
      </c>
      <c r="B87" s="14" t="s">
        <v>19</v>
      </c>
      <c r="C87" s="14" t="s">
        <v>20</v>
      </c>
      <c r="G87" s="14">
        <v>500</v>
      </c>
      <c r="H87" s="14">
        <v>11000</v>
      </c>
      <c r="I87" s="15">
        <v>190</v>
      </c>
      <c r="J87" s="15">
        <f>Table1[[#This Row],[User_Invest_Amount_As_On_Date]]/Table1[[#This Row],[Company_Total_Investment_As_On_Date]]</f>
        <v>4.5454545454545456E-2</v>
      </c>
      <c r="K87" s="15">
        <f>Table1[[#This Row],[Total_Profit]]*Table1[[#This Row],[Profit_%]]</f>
        <v>8.6363636363636367</v>
      </c>
      <c r="L87" s="14" t="s">
        <v>39</v>
      </c>
    </row>
    <row r="88" spans="1:12" x14ac:dyDescent="0.25">
      <c r="A88" s="28">
        <v>46001</v>
      </c>
      <c r="B88" s="14" t="s">
        <v>21</v>
      </c>
      <c r="C88" s="14" t="s">
        <v>22</v>
      </c>
      <c r="G88" s="14">
        <v>2000</v>
      </c>
      <c r="H88" s="14">
        <v>11000</v>
      </c>
      <c r="I88" s="15">
        <v>190</v>
      </c>
      <c r="J88" s="15">
        <f>Table1[[#This Row],[User_Invest_Amount_As_On_Date]]/Table1[[#This Row],[Company_Total_Investment_As_On_Date]]</f>
        <v>0.18181818181818182</v>
      </c>
      <c r="K88" s="15">
        <f>Table1[[#This Row],[Total_Profit]]*Table1[[#This Row],[Profit_%]]</f>
        <v>34.545454545454547</v>
      </c>
      <c r="L88" s="14" t="s">
        <v>39</v>
      </c>
    </row>
    <row r="89" spans="1:12" x14ac:dyDescent="0.25">
      <c r="A89" s="28">
        <v>46001</v>
      </c>
      <c r="B89" s="14" t="s">
        <v>50</v>
      </c>
      <c r="C89" s="14" t="s">
        <v>51</v>
      </c>
      <c r="G89" s="14">
        <v>2000</v>
      </c>
      <c r="H89" s="14">
        <v>11000</v>
      </c>
      <c r="I89" s="15">
        <v>190</v>
      </c>
      <c r="J89" s="15">
        <f>Table1[[#This Row],[User_Invest_Amount_As_On_Date]]/Table1[[#This Row],[Company_Total_Investment_As_On_Date]]</f>
        <v>0.18181818181818182</v>
      </c>
      <c r="K89" s="15">
        <f>Table1[[#This Row],[Total_Profit]]*Table1[[#This Row],[Profit_%]]</f>
        <v>34.545454545454547</v>
      </c>
      <c r="L89" s="14" t="s">
        <v>39</v>
      </c>
    </row>
    <row r="90" spans="1:12" x14ac:dyDescent="0.25">
      <c r="A90" s="28">
        <v>46001</v>
      </c>
      <c r="B90" s="14" t="s">
        <v>59</v>
      </c>
      <c r="C90" s="14" t="s">
        <v>60</v>
      </c>
      <c r="D90" s="14">
        <v>1000</v>
      </c>
      <c r="E90" s="14" t="s">
        <v>69</v>
      </c>
      <c r="F90" s="28">
        <v>46000</v>
      </c>
      <c r="G90" s="14">
        <v>1000</v>
      </c>
      <c r="H90" s="14">
        <v>11000</v>
      </c>
      <c r="I90" s="15">
        <v>190</v>
      </c>
      <c r="J90" s="15">
        <f>Table1[[#This Row],[User_Invest_Amount_As_On_Date]]/Table1[[#This Row],[Company_Total_Investment_As_On_Date]]</f>
        <v>9.0909090909090912E-2</v>
      </c>
      <c r="K90" s="15">
        <f>Table1[[#This Row],[Total_Profit]]*Table1[[#This Row],[Profit_%]]</f>
        <v>17.272727272727273</v>
      </c>
      <c r="L90" s="14" t="s">
        <v>39</v>
      </c>
    </row>
    <row r="91" spans="1:12" x14ac:dyDescent="0.25">
      <c r="I91" s="15"/>
    </row>
    <row r="92" spans="1:12" x14ac:dyDescent="0.25">
      <c r="A92" s="28">
        <v>46002</v>
      </c>
      <c r="B92" s="14" t="s">
        <v>7</v>
      </c>
      <c r="C92" s="14" t="s">
        <v>8</v>
      </c>
      <c r="G92" s="14">
        <v>2000</v>
      </c>
      <c r="H92" s="14">
        <v>11000</v>
      </c>
      <c r="I92" s="15">
        <v>821</v>
      </c>
      <c r="J92" s="15">
        <f>Table1[[#This Row],[User_Invest_Amount_As_On_Date]]/Table1[[#This Row],[Company_Total_Investment_As_On_Date]]</f>
        <v>0.18181818181818182</v>
      </c>
      <c r="K92" s="15">
        <f>Table1[[#This Row],[Total_Profit]]*Table1[[#This Row],[Profit_%]]</f>
        <v>149.27272727272728</v>
      </c>
      <c r="L92" s="14" t="s">
        <v>39</v>
      </c>
    </row>
    <row r="93" spans="1:12" x14ac:dyDescent="0.25">
      <c r="A93" s="28">
        <v>46002</v>
      </c>
      <c r="B93" s="14" t="s">
        <v>12</v>
      </c>
      <c r="C93" s="14" t="s">
        <v>13</v>
      </c>
      <c r="G93" s="14">
        <v>1500</v>
      </c>
      <c r="H93" s="14">
        <v>11000</v>
      </c>
      <c r="I93" s="15">
        <v>821</v>
      </c>
      <c r="J93" s="15">
        <f>Table1[[#This Row],[User_Invest_Amount_As_On_Date]]/Table1[[#This Row],[Company_Total_Investment_As_On_Date]]</f>
        <v>0.13636363636363635</v>
      </c>
      <c r="K93" s="15">
        <f>Table1[[#This Row],[Total_Profit]]*Table1[[#This Row],[Profit_%]]</f>
        <v>111.95454545454545</v>
      </c>
      <c r="L93" s="14" t="s">
        <v>39</v>
      </c>
    </row>
    <row r="94" spans="1:12" x14ac:dyDescent="0.25">
      <c r="A94" s="28">
        <v>46002</v>
      </c>
      <c r="B94" s="14" t="s">
        <v>14</v>
      </c>
      <c r="C94" s="14" t="s">
        <v>15</v>
      </c>
      <c r="G94" s="14">
        <v>500</v>
      </c>
      <c r="H94" s="14">
        <v>11000</v>
      </c>
      <c r="I94" s="15">
        <v>821</v>
      </c>
      <c r="J94" s="15">
        <f>Table1[[#This Row],[User_Invest_Amount_As_On_Date]]/Table1[[#This Row],[Company_Total_Investment_As_On_Date]]</f>
        <v>4.5454545454545456E-2</v>
      </c>
      <c r="K94" s="15">
        <f>Table1[[#This Row],[Total_Profit]]*Table1[[#This Row],[Profit_%]]</f>
        <v>37.31818181818182</v>
      </c>
      <c r="L94" s="14" t="s">
        <v>39</v>
      </c>
    </row>
    <row r="95" spans="1:12" x14ac:dyDescent="0.25">
      <c r="A95" s="28">
        <v>46002</v>
      </c>
      <c r="B95" s="14" t="s">
        <v>17</v>
      </c>
      <c r="C95" s="14" t="s">
        <v>18</v>
      </c>
      <c r="G95" s="14">
        <v>1500</v>
      </c>
      <c r="H95" s="14">
        <v>11000</v>
      </c>
      <c r="I95" s="15">
        <v>821</v>
      </c>
      <c r="J95" s="15">
        <f>Table1[[#This Row],[User_Invest_Amount_As_On_Date]]/Table1[[#This Row],[Company_Total_Investment_As_On_Date]]</f>
        <v>0.13636363636363635</v>
      </c>
      <c r="K95" s="15">
        <f>Table1[[#This Row],[Total_Profit]]*Table1[[#This Row],[Profit_%]]</f>
        <v>111.95454545454545</v>
      </c>
      <c r="L95" s="14" t="s">
        <v>39</v>
      </c>
    </row>
    <row r="96" spans="1:12" x14ac:dyDescent="0.25">
      <c r="A96" s="28">
        <v>46002</v>
      </c>
      <c r="B96" s="14" t="s">
        <v>19</v>
      </c>
      <c r="C96" s="14" t="s">
        <v>20</v>
      </c>
      <c r="G96" s="14">
        <v>500</v>
      </c>
      <c r="H96" s="14">
        <v>11000</v>
      </c>
      <c r="I96" s="15">
        <v>821</v>
      </c>
      <c r="J96" s="15">
        <f>Table1[[#This Row],[User_Invest_Amount_As_On_Date]]/Table1[[#This Row],[Company_Total_Investment_As_On_Date]]</f>
        <v>4.5454545454545456E-2</v>
      </c>
      <c r="K96" s="15">
        <f>Table1[[#This Row],[Total_Profit]]*Table1[[#This Row],[Profit_%]]</f>
        <v>37.31818181818182</v>
      </c>
      <c r="L96" s="14" t="s">
        <v>39</v>
      </c>
    </row>
    <row r="97" spans="1:12" x14ac:dyDescent="0.25">
      <c r="A97" s="28">
        <v>46002</v>
      </c>
      <c r="B97" s="14" t="s">
        <v>21</v>
      </c>
      <c r="C97" s="14" t="s">
        <v>22</v>
      </c>
      <c r="G97" s="14">
        <v>2000</v>
      </c>
      <c r="H97" s="14">
        <v>11000</v>
      </c>
      <c r="I97" s="15">
        <v>821</v>
      </c>
      <c r="J97" s="15">
        <f>Table1[[#This Row],[User_Invest_Amount_As_On_Date]]/Table1[[#This Row],[Company_Total_Investment_As_On_Date]]</f>
        <v>0.18181818181818182</v>
      </c>
      <c r="K97" s="15">
        <f>Table1[[#This Row],[Total_Profit]]*Table1[[#This Row],[Profit_%]]</f>
        <v>149.27272727272728</v>
      </c>
      <c r="L97" s="14" t="s">
        <v>39</v>
      </c>
    </row>
    <row r="98" spans="1:12" x14ac:dyDescent="0.25">
      <c r="A98" s="28">
        <v>46002</v>
      </c>
      <c r="B98" s="14" t="s">
        <v>50</v>
      </c>
      <c r="C98" s="14" t="s">
        <v>51</v>
      </c>
      <c r="G98" s="14">
        <v>2000</v>
      </c>
      <c r="H98" s="14">
        <v>11000</v>
      </c>
      <c r="I98" s="15">
        <v>821</v>
      </c>
      <c r="J98" s="15">
        <f>Table1[[#This Row],[User_Invest_Amount_As_On_Date]]/Table1[[#This Row],[Company_Total_Investment_As_On_Date]]</f>
        <v>0.18181818181818182</v>
      </c>
      <c r="K98" s="15">
        <f>Table1[[#This Row],[Total_Profit]]*Table1[[#This Row],[Profit_%]]</f>
        <v>149.27272727272728</v>
      </c>
      <c r="L98" s="14" t="s">
        <v>39</v>
      </c>
    </row>
    <row r="99" spans="1:12" x14ac:dyDescent="0.25">
      <c r="A99" s="28">
        <v>46002</v>
      </c>
      <c r="B99" s="14" t="s">
        <v>59</v>
      </c>
      <c r="C99" s="14" t="s">
        <v>60</v>
      </c>
      <c r="G99" s="14">
        <v>1000</v>
      </c>
      <c r="H99" s="14">
        <v>11000</v>
      </c>
      <c r="I99" s="15">
        <v>821</v>
      </c>
      <c r="J99" s="15">
        <f>Table1[[#This Row],[User_Invest_Amount_As_On_Date]]/Table1[[#This Row],[Company_Total_Investment_As_On_Date]]</f>
        <v>9.0909090909090912E-2</v>
      </c>
      <c r="K99" s="15">
        <f>Table1[[#This Row],[Total_Profit]]*Table1[[#This Row],[Profit_%]]</f>
        <v>74.63636363636364</v>
      </c>
      <c r="L99" s="14" t="s">
        <v>39</v>
      </c>
    </row>
    <row r="100" spans="1:12" x14ac:dyDescent="0.25">
      <c r="I100" s="15"/>
    </row>
    <row r="101" spans="1:12" x14ac:dyDescent="0.25">
      <c r="A101" s="28">
        <v>46003</v>
      </c>
      <c r="B101" s="14" t="s">
        <v>7</v>
      </c>
      <c r="C101" s="14" t="s">
        <v>8</v>
      </c>
      <c r="G101" s="14">
        <v>2000</v>
      </c>
      <c r="H101" s="14">
        <v>11000</v>
      </c>
      <c r="I101" s="15">
        <v>707</v>
      </c>
      <c r="J101" s="15">
        <f>Table1[[#This Row],[User_Invest_Amount_As_On_Date]]/Table1[[#This Row],[Company_Total_Investment_As_On_Date]]</f>
        <v>0.18181818181818182</v>
      </c>
      <c r="K101" s="15">
        <f>Table1[[#This Row],[Total_Profit]]*Table1[[#This Row],[Profit_%]]</f>
        <v>128.54545454545456</v>
      </c>
      <c r="L101" s="14" t="s">
        <v>39</v>
      </c>
    </row>
    <row r="102" spans="1:12" x14ac:dyDescent="0.25">
      <c r="A102" s="28">
        <v>46003</v>
      </c>
      <c r="B102" s="14" t="s">
        <v>12</v>
      </c>
      <c r="C102" s="14" t="s">
        <v>13</v>
      </c>
      <c r="G102" s="14">
        <v>1500</v>
      </c>
      <c r="H102" s="14">
        <v>11000</v>
      </c>
      <c r="I102" s="15">
        <v>707</v>
      </c>
      <c r="J102" s="15">
        <f>Table1[[#This Row],[User_Invest_Amount_As_On_Date]]/Table1[[#This Row],[Company_Total_Investment_As_On_Date]]</f>
        <v>0.13636363636363635</v>
      </c>
      <c r="K102" s="15">
        <f>Table1[[#This Row],[Total_Profit]]*Table1[[#This Row],[Profit_%]]</f>
        <v>96.409090909090907</v>
      </c>
      <c r="L102" s="14" t="s">
        <v>39</v>
      </c>
    </row>
    <row r="103" spans="1:12" x14ac:dyDescent="0.25">
      <c r="A103" s="28">
        <v>46003</v>
      </c>
      <c r="B103" s="14" t="s">
        <v>14</v>
      </c>
      <c r="C103" s="14" t="s">
        <v>15</v>
      </c>
      <c r="G103" s="14">
        <v>500</v>
      </c>
      <c r="H103" s="14">
        <v>11000</v>
      </c>
      <c r="I103" s="15">
        <v>707</v>
      </c>
      <c r="J103" s="15">
        <f>Table1[[#This Row],[User_Invest_Amount_As_On_Date]]/Table1[[#This Row],[Company_Total_Investment_As_On_Date]]</f>
        <v>4.5454545454545456E-2</v>
      </c>
      <c r="K103" s="15">
        <f>Table1[[#This Row],[Total_Profit]]*Table1[[#This Row],[Profit_%]]</f>
        <v>32.13636363636364</v>
      </c>
      <c r="L103" s="14" t="s">
        <v>39</v>
      </c>
    </row>
    <row r="104" spans="1:12" x14ac:dyDescent="0.25">
      <c r="A104" s="28">
        <v>46003</v>
      </c>
      <c r="B104" s="14" t="s">
        <v>17</v>
      </c>
      <c r="C104" s="14" t="s">
        <v>18</v>
      </c>
      <c r="G104" s="14">
        <v>1500</v>
      </c>
      <c r="H104" s="14">
        <v>11000</v>
      </c>
      <c r="I104" s="15">
        <v>707</v>
      </c>
      <c r="J104" s="15">
        <f>Table1[[#This Row],[User_Invest_Amount_As_On_Date]]/Table1[[#This Row],[Company_Total_Investment_As_On_Date]]</f>
        <v>0.13636363636363635</v>
      </c>
      <c r="K104" s="15">
        <f>Table1[[#This Row],[Total_Profit]]*Table1[[#This Row],[Profit_%]]</f>
        <v>96.409090909090907</v>
      </c>
      <c r="L104" s="14" t="s">
        <v>39</v>
      </c>
    </row>
    <row r="105" spans="1:12" x14ac:dyDescent="0.25">
      <c r="A105" s="28">
        <v>46003</v>
      </c>
      <c r="B105" s="14" t="s">
        <v>19</v>
      </c>
      <c r="C105" s="14" t="s">
        <v>20</v>
      </c>
      <c r="G105" s="14">
        <v>500</v>
      </c>
      <c r="H105" s="14">
        <v>11000</v>
      </c>
      <c r="I105" s="15">
        <v>707</v>
      </c>
      <c r="J105" s="15">
        <f>Table1[[#This Row],[User_Invest_Amount_As_On_Date]]/Table1[[#This Row],[Company_Total_Investment_As_On_Date]]</f>
        <v>4.5454545454545456E-2</v>
      </c>
      <c r="K105" s="15">
        <f>Table1[[#This Row],[Total_Profit]]*Table1[[#This Row],[Profit_%]]</f>
        <v>32.13636363636364</v>
      </c>
      <c r="L105" s="14" t="s">
        <v>39</v>
      </c>
    </row>
    <row r="106" spans="1:12" x14ac:dyDescent="0.25">
      <c r="A106" s="28">
        <v>46003</v>
      </c>
      <c r="B106" s="14" t="s">
        <v>21</v>
      </c>
      <c r="C106" s="14" t="s">
        <v>22</v>
      </c>
      <c r="G106" s="14">
        <v>2000</v>
      </c>
      <c r="H106" s="14">
        <v>11000</v>
      </c>
      <c r="I106" s="15">
        <v>707</v>
      </c>
      <c r="J106" s="15">
        <f>Table1[[#This Row],[User_Invest_Amount_As_On_Date]]/Table1[[#This Row],[Company_Total_Investment_As_On_Date]]</f>
        <v>0.18181818181818182</v>
      </c>
      <c r="K106" s="15">
        <f>Table1[[#This Row],[Total_Profit]]*Table1[[#This Row],[Profit_%]]</f>
        <v>128.54545454545456</v>
      </c>
      <c r="L106" s="14" t="s">
        <v>39</v>
      </c>
    </row>
    <row r="107" spans="1:12" x14ac:dyDescent="0.25">
      <c r="A107" s="28">
        <v>46003</v>
      </c>
      <c r="B107" s="14" t="s">
        <v>50</v>
      </c>
      <c r="C107" s="14" t="s">
        <v>51</v>
      </c>
      <c r="G107" s="14">
        <v>2000</v>
      </c>
      <c r="H107" s="14">
        <v>11000</v>
      </c>
      <c r="I107" s="15">
        <v>707</v>
      </c>
      <c r="J107" s="15">
        <f>Table1[[#This Row],[User_Invest_Amount_As_On_Date]]/Table1[[#This Row],[Company_Total_Investment_As_On_Date]]</f>
        <v>0.18181818181818182</v>
      </c>
      <c r="K107" s="15">
        <f>Table1[[#This Row],[Total_Profit]]*Table1[[#This Row],[Profit_%]]</f>
        <v>128.54545454545456</v>
      </c>
      <c r="L107" s="14" t="s">
        <v>39</v>
      </c>
    </row>
    <row r="108" spans="1:12" x14ac:dyDescent="0.25">
      <c r="A108" s="28">
        <v>46003</v>
      </c>
      <c r="B108" s="14" t="s">
        <v>59</v>
      </c>
      <c r="C108" s="14" t="s">
        <v>60</v>
      </c>
      <c r="G108" s="14">
        <v>1000</v>
      </c>
      <c r="H108" s="14">
        <v>11000</v>
      </c>
      <c r="I108" s="15">
        <v>707</v>
      </c>
      <c r="J108" s="15">
        <f>Table1[[#This Row],[User_Invest_Amount_As_On_Date]]/Table1[[#This Row],[Company_Total_Investment_As_On_Date]]</f>
        <v>9.0909090909090912E-2</v>
      </c>
      <c r="K108" s="15">
        <f>Table1[[#This Row],[Total_Profit]]*Table1[[#This Row],[Profit_%]]</f>
        <v>64.27272727272728</v>
      </c>
      <c r="L108" s="14" t="s">
        <v>39</v>
      </c>
    </row>
    <row r="109" spans="1:12" x14ac:dyDescent="0.25">
      <c r="I109" s="15"/>
    </row>
    <row r="110" spans="1:12" x14ac:dyDescent="0.25">
      <c r="A110" s="28">
        <v>46004</v>
      </c>
      <c r="B110" s="14" t="s">
        <v>7</v>
      </c>
      <c r="C110" s="14" t="s">
        <v>8</v>
      </c>
      <c r="D110" s="14">
        <v>500</v>
      </c>
      <c r="E110" s="14" t="s">
        <v>70</v>
      </c>
      <c r="F110" s="28">
        <v>46003</v>
      </c>
      <c r="G110" s="14">
        <v>2500</v>
      </c>
      <c r="H110" s="14">
        <v>12000</v>
      </c>
      <c r="I110" s="15">
        <v>470</v>
      </c>
      <c r="J110" s="15">
        <f>Table1[[#This Row],[User_Invest_Amount_As_On_Date]]/Table1[[#This Row],[Company_Total_Investment_As_On_Date]]</f>
        <v>0.20833333333333334</v>
      </c>
      <c r="K110" s="15">
        <f>Table1[[#This Row],[Total_Profit]]*Table1[[#This Row],[Profit_%]]</f>
        <v>97.916666666666671</v>
      </c>
      <c r="L110" s="14" t="s">
        <v>79</v>
      </c>
    </row>
    <row r="111" spans="1:12" x14ac:dyDescent="0.25">
      <c r="A111" s="28">
        <v>46004</v>
      </c>
      <c r="B111" s="14" t="s">
        <v>12</v>
      </c>
      <c r="C111" s="14" t="s">
        <v>13</v>
      </c>
      <c r="G111" s="14">
        <v>1500</v>
      </c>
      <c r="H111" s="14">
        <v>12000</v>
      </c>
      <c r="I111" s="15">
        <v>470</v>
      </c>
      <c r="J111" s="15">
        <f>Table1[[#This Row],[User_Invest_Amount_As_On_Date]]/Table1[[#This Row],[Company_Total_Investment_As_On_Date]]</f>
        <v>0.125</v>
      </c>
      <c r="K111" s="15">
        <f>Table1[[#This Row],[Total_Profit]]*Table1[[#This Row],[Profit_%]]</f>
        <v>58.75</v>
      </c>
      <c r="L111" s="14" t="s">
        <v>79</v>
      </c>
    </row>
    <row r="112" spans="1:12" x14ac:dyDescent="0.25">
      <c r="A112" s="28">
        <v>46004</v>
      </c>
      <c r="B112" s="14" t="s">
        <v>14</v>
      </c>
      <c r="C112" s="14" t="s">
        <v>15</v>
      </c>
      <c r="G112" s="14">
        <v>500</v>
      </c>
      <c r="H112" s="14">
        <v>12000</v>
      </c>
      <c r="I112" s="15">
        <v>470</v>
      </c>
      <c r="J112" s="15">
        <f>Table1[[#This Row],[User_Invest_Amount_As_On_Date]]/Table1[[#This Row],[Company_Total_Investment_As_On_Date]]</f>
        <v>4.1666666666666664E-2</v>
      </c>
      <c r="K112" s="15">
        <f>Table1[[#This Row],[Total_Profit]]*Table1[[#This Row],[Profit_%]]</f>
        <v>19.583333333333332</v>
      </c>
      <c r="L112" s="14" t="s">
        <v>79</v>
      </c>
    </row>
    <row r="113" spans="1:12" x14ac:dyDescent="0.25">
      <c r="A113" s="28">
        <v>46004</v>
      </c>
      <c r="B113" s="14" t="s">
        <v>17</v>
      </c>
      <c r="C113" s="14" t="s">
        <v>18</v>
      </c>
      <c r="G113" s="14">
        <v>1500</v>
      </c>
      <c r="H113" s="14">
        <v>12000</v>
      </c>
      <c r="I113" s="15">
        <v>470</v>
      </c>
      <c r="J113" s="15">
        <f>Table1[[#This Row],[User_Invest_Amount_As_On_Date]]/Table1[[#This Row],[Company_Total_Investment_As_On_Date]]</f>
        <v>0.125</v>
      </c>
      <c r="K113" s="15">
        <f>Table1[[#This Row],[Total_Profit]]*Table1[[#This Row],[Profit_%]]</f>
        <v>58.75</v>
      </c>
      <c r="L113" s="14" t="s">
        <v>79</v>
      </c>
    </row>
    <row r="114" spans="1:12" x14ac:dyDescent="0.25">
      <c r="A114" s="28">
        <v>46004</v>
      </c>
      <c r="B114" s="14" t="s">
        <v>19</v>
      </c>
      <c r="C114" s="14" t="s">
        <v>20</v>
      </c>
      <c r="D114" s="14">
        <v>500</v>
      </c>
      <c r="E114" s="14" t="s">
        <v>71</v>
      </c>
      <c r="F114" s="28">
        <v>46003</v>
      </c>
      <c r="G114" s="14">
        <v>1000</v>
      </c>
      <c r="H114" s="14">
        <v>12000</v>
      </c>
      <c r="I114" s="15">
        <v>470</v>
      </c>
      <c r="J114" s="15">
        <f>Table1[[#This Row],[User_Invest_Amount_As_On_Date]]/Table1[[#This Row],[Company_Total_Investment_As_On_Date]]</f>
        <v>8.3333333333333329E-2</v>
      </c>
      <c r="K114" s="15">
        <f>Table1[[#This Row],[Total_Profit]]*Table1[[#This Row],[Profit_%]]</f>
        <v>39.166666666666664</v>
      </c>
      <c r="L114" s="14" t="s">
        <v>79</v>
      </c>
    </row>
    <row r="115" spans="1:12" x14ac:dyDescent="0.25">
      <c r="A115" s="28">
        <v>46004</v>
      </c>
      <c r="B115" s="14" t="s">
        <v>21</v>
      </c>
      <c r="C115" s="14" t="s">
        <v>22</v>
      </c>
      <c r="G115" s="14">
        <v>2000</v>
      </c>
      <c r="H115" s="14">
        <v>12000</v>
      </c>
      <c r="I115" s="15">
        <v>470</v>
      </c>
      <c r="J115" s="15">
        <f>Table1[[#This Row],[User_Invest_Amount_As_On_Date]]/Table1[[#This Row],[Company_Total_Investment_As_On_Date]]</f>
        <v>0.16666666666666666</v>
      </c>
      <c r="K115" s="15">
        <f>Table1[[#This Row],[Total_Profit]]*Table1[[#This Row],[Profit_%]]</f>
        <v>78.333333333333329</v>
      </c>
      <c r="L115" s="14" t="s">
        <v>79</v>
      </c>
    </row>
    <row r="116" spans="1:12" x14ac:dyDescent="0.25">
      <c r="A116" s="28">
        <v>46004</v>
      </c>
      <c r="B116" s="14" t="s">
        <v>50</v>
      </c>
      <c r="C116" s="14" t="s">
        <v>51</v>
      </c>
      <c r="G116" s="14">
        <v>2000</v>
      </c>
      <c r="H116" s="14">
        <v>12000</v>
      </c>
      <c r="I116" s="15">
        <v>470</v>
      </c>
      <c r="J116" s="15">
        <f>Table1[[#This Row],[User_Invest_Amount_As_On_Date]]/Table1[[#This Row],[Company_Total_Investment_As_On_Date]]</f>
        <v>0.16666666666666666</v>
      </c>
      <c r="K116" s="15">
        <f>Table1[[#This Row],[Total_Profit]]*Table1[[#This Row],[Profit_%]]</f>
        <v>78.333333333333329</v>
      </c>
      <c r="L116" s="14" t="s">
        <v>79</v>
      </c>
    </row>
    <row r="117" spans="1:12" x14ac:dyDescent="0.25">
      <c r="A117" s="28">
        <v>46004</v>
      </c>
      <c r="B117" s="14" t="s">
        <v>59</v>
      </c>
      <c r="C117" s="14" t="s">
        <v>60</v>
      </c>
      <c r="G117" s="14">
        <v>1000</v>
      </c>
      <c r="H117" s="14">
        <v>12000</v>
      </c>
      <c r="I117" s="15">
        <v>470</v>
      </c>
      <c r="J117" s="15">
        <f>Table1[[#This Row],[User_Invest_Amount_As_On_Date]]/Table1[[#This Row],[Company_Total_Investment_As_On_Date]]</f>
        <v>8.3333333333333329E-2</v>
      </c>
      <c r="K117" s="15">
        <f>Table1[[#This Row],[Total_Profit]]*Table1[[#This Row],[Profit_%]]</f>
        <v>39.166666666666664</v>
      </c>
      <c r="L117" s="14" t="s">
        <v>79</v>
      </c>
    </row>
    <row r="118" spans="1:12" x14ac:dyDescent="0.25">
      <c r="I118" s="15"/>
    </row>
    <row r="119" spans="1:12" x14ac:dyDescent="0.25">
      <c r="A119" s="28">
        <v>46005</v>
      </c>
      <c r="B119" s="14" t="s">
        <v>7</v>
      </c>
      <c r="C119" s="14" t="s">
        <v>8</v>
      </c>
      <c r="G119" s="14">
        <v>2500</v>
      </c>
      <c r="H119" s="14">
        <v>12000</v>
      </c>
      <c r="I119" s="15">
        <v>434</v>
      </c>
      <c r="J119" s="15">
        <f>Table1[[#This Row],[User_Invest_Amount_As_On_Date]]/Table1[[#This Row],[Company_Total_Investment_As_On_Date]]</f>
        <v>0.20833333333333334</v>
      </c>
      <c r="K119" s="15">
        <f>Table1[[#This Row],[Total_Profit]]*Table1[[#This Row],[Profit_%]]</f>
        <v>90.416666666666671</v>
      </c>
      <c r="L119" s="14" t="s">
        <v>79</v>
      </c>
    </row>
    <row r="120" spans="1:12" x14ac:dyDescent="0.25">
      <c r="A120" s="28">
        <v>46005</v>
      </c>
      <c r="B120" s="14" t="s">
        <v>12</v>
      </c>
      <c r="C120" s="14" t="s">
        <v>13</v>
      </c>
      <c r="G120" s="14">
        <v>1500</v>
      </c>
      <c r="H120" s="14">
        <v>12000</v>
      </c>
      <c r="I120" s="15">
        <v>434</v>
      </c>
      <c r="J120" s="15">
        <f>Table1[[#This Row],[User_Invest_Amount_As_On_Date]]/Table1[[#This Row],[Company_Total_Investment_As_On_Date]]</f>
        <v>0.125</v>
      </c>
      <c r="K120" s="15">
        <f>Table1[[#This Row],[Total_Profit]]*Table1[[#This Row],[Profit_%]]</f>
        <v>54.25</v>
      </c>
      <c r="L120" s="14" t="s">
        <v>79</v>
      </c>
    </row>
    <row r="121" spans="1:12" x14ac:dyDescent="0.25">
      <c r="A121" s="28">
        <v>46005</v>
      </c>
      <c r="B121" s="14" t="s">
        <v>14</v>
      </c>
      <c r="C121" s="14" t="s">
        <v>15</v>
      </c>
      <c r="G121" s="14">
        <v>500</v>
      </c>
      <c r="H121" s="14">
        <v>12000</v>
      </c>
      <c r="I121" s="15">
        <v>434</v>
      </c>
      <c r="J121" s="15">
        <f>Table1[[#This Row],[User_Invest_Amount_As_On_Date]]/Table1[[#This Row],[Company_Total_Investment_As_On_Date]]</f>
        <v>4.1666666666666664E-2</v>
      </c>
      <c r="K121" s="15">
        <f>Table1[[#This Row],[Total_Profit]]*Table1[[#This Row],[Profit_%]]</f>
        <v>18.083333333333332</v>
      </c>
      <c r="L121" s="14" t="s">
        <v>79</v>
      </c>
    </row>
    <row r="122" spans="1:12" x14ac:dyDescent="0.25">
      <c r="A122" s="28">
        <v>46005</v>
      </c>
      <c r="B122" s="14" t="s">
        <v>17</v>
      </c>
      <c r="C122" s="14" t="s">
        <v>18</v>
      </c>
      <c r="G122" s="14">
        <v>1500</v>
      </c>
      <c r="H122" s="14">
        <v>12000</v>
      </c>
      <c r="I122" s="15">
        <v>434</v>
      </c>
      <c r="J122" s="15">
        <f>Table1[[#This Row],[User_Invest_Amount_As_On_Date]]/Table1[[#This Row],[Company_Total_Investment_As_On_Date]]</f>
        <v>0.125</v>
      </c>
      <c r="K122" s="15">
        <f>Table1[[#This Row],[Total_Profit]]*Table1[[#This Row],[Profit_%]]</f>
        <v>54.25</v>
      </c>
      <c r="L122" s="14" t="s">
        <v>79</v>
      </c>
    </row>
    <row r="123" spans="1:12" x14ac:dyDescent="0.25">
      <c r="A123" s="28">
        <v>46005</v>
      </c>
      <c r="B123" s="14" t="s">
        <v>19</v>
      </c>
      <c r="C123" s="14" t="s">
        <v>20</v>
      </c>
      <c r="G123" s="14">
        <v>1000</v>
      </c>
      <c r="H123" s="14">
        <v>12000</v>
      </c>
      <c r="I123" s="15">
        <v>434</v>
      </c>
      <c r="J123" s="15">
        <f>Table1[[#This Row],[User_Invest_Amount_As_On_Date]]/Table1[[#This Row],[Company_Total_Investment_As_On_Date]]</f>
        <v>8.3333333333333329E-2</v>
      </c>
      <c r="K123" s="15">
        <f>Table1[[#This Row],[Total_Profit]]*Table1[[#This Row],[Profit_%]]</f>
        <v>36.166666666666664</v>
      </c>
      <c r="L123" s="14" t="s">
        <v>79</v>
      </c>
    </row>
    <row r="124" spans="1:12" x14ac:dyDescent="0.25">
      <c r="A124" s="28">
        <v>46005</v>
      </c>
      <c r="B124" s="14" t="s">
        <v>21</v>
      </c>
      <c r="C124" s="14" t="s">
        <v>22</v>
      </c>
      <c r="G124" s="14">
        <v>2000</v>
      </c>
      <c r="H124" s="14">
        <v>12000</v>
      </c>
      <c r="I124" s="15">
        <v>434</v>
      </c>
      <c r="J124" s="15">
        <f>Table1[[#This Row],[User_Invest_Amount_As_On_Date]]/Table1[[#This Row],[Company_Total_Investment_As_On_Date]]</f>
        <v>0.16666666666666666</v>
      </c>
      <c r="K124" s="15">
        <f>Table1[[#This Row],[Total_Profit]]*Table1[[#This Row],[Profit_%]]</f>
        <v>72.333333333333329</v>
      </c>
      <c r="L124" s="14" t="s">
        <v>79</v>
      </c>
    </row>
    <row r="125" spans="1:12" x14ac:dyDescent="0.25">
      <c r="A125" s="28">
        <v>46005</v>
      </c>
      <c r="B125" s="14" t="s">
        <v>50</v>
      </c>
      <c r="C125" s="14" t="s">
        <v>51</v>
      </c>
      <c r="G125" s="14">
        <v>2000</v>
      </c>
      <c r="H125" s="14">
        <v>12000</v>
      </c>
      <c r="I125" s="15">
        <v>434</v>
      </c>
      <c r="J125" s="15">
        <f>Table1[[#This Row],[User_Invest_Amount_As_On_Date]]/Table1[[#This Row],[Company_Total_Investment_As_On_Date]]</f>
        <v>0.16666666666666666</v>
      </c>
      <c r="K125" s="15">
        <f>Table1[[#This Row],[Total_Profit]]*Table1[[#This Row],[Profit_%]]</f>
        <v>72.333333333333329</v>
      </c>
      <c r="L125" s="14" t="s">
        <v>79</v>
      </c>
    </row>
    <row r="126" spans="1:12" x14ac:dyDescent="0.25">
      <c r="A126" s="28">
        <v>46005</v>
      </c>
      <c r="B126" s="14" t="s">
        <v>59</v>
      </c>
      <c r="C126" s="14" t="s">
        <v>60</v>
      </c>
      <c r="G126" s="14">
        <v>1000</v>
      </c>
      <c r="H126" s="14">
        <v>12000</v>
      </c>
      <c r="I126" s="15">
        <v>434</v>
      </c>
      <c r="J126" s="15">
        <f>Table1[[#This Row],[User_Invest_Amount_As_On_Date]]/Table1[[#This Row],[Company_Total_Investment_As_On_Date]]</f>
        <v>8.3333333333333329E-2</v>
      </c>
      <c r="K126" s="15">
        <f>Table1[[#This Row],[Total_Profit]]*Table1[[#This Row],[Profit_%]]</f>
        <v>36.166666666666664</v>
      </c>
      <c r="L126" s="14" t="s">
        <v>79</v>
      </c>
    </row>
    <row r="127" spans="1:12" x14ac:dyDescent="0.25">
      <c r="I127" s="15"/>
    </row>
    <row r="128" spans="1:12" x14ac:dyDescent="0.25">
      <c r="I128" s="15"/>
    </row>
    <row r="129" spans="9:9" x14ac:dyDescent="0.25">
      <c r="I129" s="15"/>
    </row>
    <row r="130" spans="9:9" x14ac:dyDescent="0.25">
      <c r="I130" s="15"/>
    </row>
    <row r="131" spans="9:9" x14ac:dyDescent="0.25">
      <c r="I131" s="15"/>
    </row>
    <row r="132" spans="9:9" x14ac:dyDescent="0.25">
      <c r="I132" s="15"/>
    </row>
    <row r="133" spans="9:9" x14ac:dyDescent="0.25">
      <c r="I133" s="15"/>
    </row>
    <row r="134" spans="9:9" x14ac:dyDescent="0.25">
      <c r="I134" s="15"/>
    </row>
    <row r="135" spans="9:9" x14ac:dyDescent="0.25">
      <c r="I135" s="15"/>
    </row>
    <row r="136" spans="9:9" x14ac:dyDescent="0.25">
      <c r="I136" s="15"/>
    </row>
    <row r="137" spans="9:9" x14ac:dyDescent="0.25">
      <c r="I137" s="15"/>
    </row>
    <row r="138" spans="9:9" x14ac:dyDescent="0.25">
      <c r="I138" s="15"/>
    </row>
    <row r="139" spans="9:9" x14ac:dyDescent="0.25">
      <c r="I139" s="15"/>
    </row>
    <row r="140" spans="9:9" x14ac:dyDescent="0.25">
      <c r="I140" s="15"/>
    </row>
    <row r="141" spans="9:9" x14ac:dyDescent="0.25">
      <c r="I141" s="15"/>
    </row>
    <row r="142" spans="9:9" x14ac:dyDescent="0.25">
      <c r="I142" s="15"/>
    </row>
    <row r="143" spans="9:9" x14ac:dyDescent="0.25">
      <c r="I143" s="15"/>
    </row>
    <row r="144" spans="9:9" x14ac:dyDescent="0.25">
      <c r="I144" s="15"/>
    </row>
    <row r="145" spans="9:9" x14ac:dyDescent="0.25">
      <c r="I145" s="15"/>
    </row>
    <row r="146" spans="9:9" x14ac:dyDescent="0.25">
      <c r="I146" s="15"/>
    </row>
    <row r="147" spans="9:9" x14ac:dyDescent="0.25">
      <c r="I147" s="15"/>
    </row>
    <row r="148" spans="9:9" x14ac:dyDescent="0.25">
      <c r="I148" s="15"/>
    </row>
    <row r="149" spans="9:9" x14ac:dyDescent="0.25">
      <c r="I149" s="15"/>
    </row>
    <row r="150" spans="9:9" x14ac:dyDescent="0.25">
      <c r="I150" s="15"/>
    </row>
    <row r="151" spans="9:9" x14ac:dyDescent="0.25">
      <c r="I151" s="15"/>
    </row>
    <row r="152" spans="9:9" x14ac:dyDescent="0.25">
      <c r="I152" s="15"/>
    </row>
    <row r="153" spans="9:9" x14ac:dyDescent="0.25">
      <c r="I153" s="15"/>
    </row>
    <row r="154" spans="9:9" x14ac:dyDescent="0.25">
      <c r="I154" s="15"/>
    </row>
    <row r="155" spans="9:9" x14ac:dyDescent="0.25">
      <c r="I155" s="15"/>
    </row>
    <row r="156" spans="9:9" x14ac:dyDescent="0.25">
      <c r="I156" s="15"/>
    </row>
    <row r="157" spans="9:9" x14ac:dyDescent="0.25">
      <c r="I157" s="15"/>
    </row>
    <row r="158" spans="9:9" x14ac:dyDescent="0.25">
      <c r="I158" s="15"/>
    </row>
    <row r="159" spans="9:9" x14ac:dyDescent="0.25">
      <c r="I159" s="15"/>
    </row>
    <row r="160" spans="9:9" x14ac:dyDescent="0.25">
      <c r="I160" s="15"/>
    </row>
    <row r="161" spans="9:9" x14ac:dyDescent="0.25">
      <c r="I161" s="15"/>
    </row>
    <row r="162" spans="9:9" x14ac:dyDescent="0.25">
      <c r="I162" s="15"/>
    </row>
    <row r="163" spans="9:9" x14ac:dyDescent="0.25">
      <c r="I163" s="15"/>
    </row>
    <row r="164" spans="9:9" x14ac:dyDescent="0.25">
      <c r="I164" s="15"/>
    </row>
    <row r="165" spans="9:9" x14ac:dyDescent="0.25">
      <c r="I165" s="15"/>
    </row>
    <row r="166" spans="9:9" x14ac:dyDescent="0.25">
      <c r="I166" s="15"/>
    </row>
    <row r="167" spans="9:9" x14ac:dyDescent="0.25">
      <c r="I167" s="15"/>
    </row>
    <row r="168" spans="9:9" x14ac:dyDescent="0.25">
      <c r="I168" s="15"/>
    </row>
    <row r="169" spans="9:9" x14ac:dyDescent="0.25">
      <c r="I169" s="15"/>
    </row>
    <row r="170" spans="9:9" x14ac:dyDescent="0.25">
      <c r="I170" s="15"/>
    </row>
    <row r="171" spans="9:9" x14ac:dyDescent="0.25">
      <c r="I171" s="15"/>
    </row>
    <row r="172" spans="9:9" x14ac:dyDescent="0.25">
      <c r="I172" s="15"/>
    </row>
    <row r="173" spans="9:9" x14ac:dyDescent="0.25">
      <c r="I173" s="15"/>
    </row>
    <row r="174" spans="9:9" x14ac:dyDescent="0.25">
      <c r="I174" s="15"/>
    </row>
    <row r="175" spans="9:9" x14ac:dyDescent="0.25">
      <c r="I175" s="15"/>
    </row>
    <row r="176" spans="9:9" x14ac:dyDescent="0.25">
      <c r="I176" s="15"/>
    </row>
    <row r="177" spans="9:9" x14ac:dyDescent="0.25">
      <c r="I177" s="15"/>
    </row>
    <row r="178" spans="9:9" x14ac:dyDescent="0.25">
      <c r="I178" s="15"/>
    </row>
    <row r="179" spans="9:9" x14ac:dyDescent="0.25">
      <c r="I179" s="15"/>
    </row>
    <row r="180" spans="9:9" x14ac:dyDescent="0.25">
      <c r="I180" s="15"/>
    </row>
    <row r="181" spans="9:9" x14ac:dyDescent="0.25">
      <c r="I181" s="15"/>
    </row>
    <row r="182" spans="9:9" x14ac:dyDescent="0.25">
      <c r="I182" s="15"/>
    </row>
    <row r="183" spans="9:9" x14ac:dyDescent="0.25">
      <c r="I183" s="15"/>
    </row>
    <row r="184" spans="9:9" x14ac:dyDescent="0.25">
      <c r="I184" s="15"/>
    </row>
    <row r="185" spans="9:9" x14ac:dyDescent="0.25">
      <c r="I185" s="15"/>
    </row>
    <row r="186" spans="9:9" x14ac:dyDescent="0.25">
      <c r="I186" s="15"/>
    </row>
    <row r="187" spans="9:9" x14ac:dyDescent="0.25">
      <c r="I187" s="15"/>
    </row>
    <row r="188" spans="9:9" x14ac:dyDescent="0.25">
      <c r="I188" s="15"/>
    </row>
    <row r="189" spans="9:9" x14ac:dyDescent="0.25">
      <c r="I189" s="15"/>
    </row>
    <row r="190" spans="9:9" x14ac:dyDescent="0.25">
      <c r="I190" s="15"/>
    </row>
    <row r="191" spans="9:9" x14ac:dyDescent="0.25">
      <c r="I191" s="15"/>
    </row>
    <row r="192" spans="9:9" x14ac:dyDescent="0.25">
      <c r="I192" s="15"/>
    </row>
    <row r="193" spans="9:9" x14ac:dyDescent="0.25">
      <c r="I193" s="15"/>
    </row>
    <row r="194" spans="9:9" x14ac:dyDescent="0.25">
      <c r="I194" s="15"/>
    </row>
    <row r="195" spans="9:9" x14ac:dyDescent="0.25">
      <c r="I195" s="15"/>
    </row>
    <row r="196" spans="9:9" x14ac:dyDescent="0.25">
      <c r="I196" s="15"/>
    </row>
    <row r="197" spans="9:9" x14ac:dyDescent="0.25">
      <c r="I197" s="15"/>
    </row>
    <row r="198" spans="9:9" x14ac:dyDescent="0.25">
      <c r="I198" s="15"/>
    </row>
    <row r="199" spans="9:9" x14ac:dyDescent="0.25">
      <c r="I199" s="15"/>
    </row>
    <row r="200" spans="9:9" x14ac:dyDescent="0.25">
      <c r="I200" s="15"/>
    </row>
    <row r="201" spans="9:9" x14ac:dyDescent="0.25">
      <c r="I201" s="15"/>
    </row>
    <row r="202" spans="9:9" x14ac:dyDescent="0.25">
      <c r="I202" s="15"/>
    </row>
    <row r="203" spans="9:9" x14ac:dyDescent="0.25">
      <c r="I203" s="15"/>
    </row>
    <row r="204" spans="9:9" x14ac:dyDescent="0.25">
      <c r="I204" s="15"/>
    </row>
    <row r="205" spans="9:9" x14ac:dyDescent="0.25">
      <c r="I205" s="15"/>
    </row>
    <row r="206" spans="9:9" x14ac:dyDescent="0.25">
      <c r="I206" s="15"/>
    </row>
    <row r="207" spans="9:9" x14ac:dyDescent="0.25">
      <c r="I207" s="15"/>
    </row>
    <row r="208" spans="9:9" x14ac:dyDescent="0.25">
      <c r="I208" s="15"/>
    </row>
    <row r="209" spans="9:9" x14ac:dyDescent="0.25">
      <c r="I209" s="15"/>
    </row>
    <row r="210" spans="9:9" x14ac:dyDescent="0.25">
      <c r="I210" s="15"/>
    </row>
    <row r="211" spans="9:9" x14ac:dyDescent="0.25">
      <c r="I211" s="15"/>
    </row>
    <row r="212" spans="9:9" x14ac:dyDescent="0.25">
      <c r="I212" s="15"/>
    </row>
    <row r="213" spans="9:9" x14ac:dyDescent="0.25">
      <c r="I213" s="15"/>
    </row>
    <row r="214" spans="9:9" x14ac:dyDescent="0.25">
      <c r="I214" s="15"/>
    </row>
    <row r="215" spans="9:9" x14ac:dyDescent="0.25">
      <c r="I215" s="15"/>
    </row>
    <row r="216" spans="9:9" x14ac:dyDescent="0.25">
      <c r="I216" s="15"/>
    </row>
    <row r="217" spans="9:9" x14ac:dyDescent="0.25">
      <c r="I217" s="15"/>
    </row>
    <row r="218" spans="9:9" x14ac:dyDescent="0.25">
      <c r="I218" s="15"/>
    </row>
    <row r="219" spans="9:9" x14ac:dyDescent="0.25">
      <c r="I219" s="15"/>
    </row>
    <row r="220" spans="9:9" x14ac:dyDescent="0.25">
      <c r="I220" s="15"/>
    </row>
    <row r="221" spans="9:9" x14ac:dyDescent="0.25">
      <c r="I221" s="15"/>
    </row>
    <row r="222" spans="9:9" x14ac:dyDescent="0.25">
      <c r="I222" s="15"/>
    </row>
    <row r="223" spans="9:9" x14ac:dyDescent="0.25">
      <c r="I223" s="15"/>
    </row>
    <row r="224" spans="9:9" x14ac:dyDescent="0.25">
      <c r="I224" s="15"/>
    </row>
    <row r="225" spans="9:9" x14ac:dyDescent="0.25">
      <c r="I225" s="15"/>
    </row>
    <row r="226" spans="9:9" x14ac:dyDescent="0.25">
      <c r="I226" s="15"/>
    </row>
    <row r="227" spans="9:9" x14ac:dyDescent="0.25">
      <c r="I227" s="15"/>
    </row>
    <row r="228" spans="9:9" x14ac:dyDescent="0.25">
      <c r="I228" s="15"/>
    </row>
    <row r="229" spans="9:9" x14ac:dyDescent="0.25">
      <c r="I229" s="15"/>
    </row>
    <row r="230" spans="9:9" x14ac:dyDescent="0.25">
      <c r="I230" s="15"/>
    </row>
    <row r="231" spans="9:9" x14ac:dyDescent="0.25">
      <c r="I231" s="15"/>
    </row>
    <row r="232" spans="9:9" x14ac:dyDescent="0.25">
      <c r="I232" s="15"/>
    </row>
    <row r="233" spans="9:9" x14ac:dyDescent="0.25">
      <c r="I233" s="15"/>
    </row>
    <row r="234" spans="9:9" x14ac:dyDescent="0.25">
      <c r="I234" s="15"/>
    </row>
    <row r="235" spans="9:9" x14ac:dyDescent="0.25">
      <c r="I235" s="15"/>
    </row>
    <row r="236" spans="9:9" x14ac:dyDescent="0.25">
      <c r="I236" s="15"/>
    </row>
    <row r="237" spans="9:9" x14ac:dyDescent="0.25">
      <c r="I237" s="15"/>
    </row>
    <row r="238" spans="9:9" x14ac:dyDescent="0.25">
      <c r="I238" s="15"/>
    </row>
    <row r="239" spans="9:9" x14ac:dyDescent="0.25">
      <c r="I239" s="15"/>
    </row>
    <row r="240" spans="9:9" x14ac:dyDescent="0.25">
      <c r="I240" s="15"/>
    </row>
    <row r="241" spans="9:9" x14ac:dyDescent="0.25">
      <c r="I241" s="15"/>
    </row>
    <row r="242" spans="9:9" x14ac:dyDescent="0.25">
      <c r="I242" s="15"/>
    </row>
    <row r="243" spans="9:9" x14ac:dyDescent="0.25">
      <c r="I243" s="15"/>
    </row>
    <row r="244" spans="9:9" x14ac:dyDescent="0.25">
      <c r="I244" s="15"/>
    </row>
    <row r="245" spans="9:9" x14ac:dyDescent="0.25">
      <c r="I245" s="15"/>
    </row>
    <row r="246" spans="9:9" x14ac:dyDescent="0.25">
      <c r="I246" s="15"/>
    </row>
    <row r="247" spans="9:9" x14ac:dyDescent="0.25">
      <c r="I247" s="15"/>
    </row>
    <row r="248" spans="9:9" x14ac:dyDescent="0.25">
      <c r="I248" s="15"/>
    </row>
    <row r="249" spans="9:9" x14ac:dyDescent="0.25">
      <c r="I249" s="15"/>
    </row>
    <row r="250" spans="9:9" x14ac:dyDescent="0.25">
      <c r="I250" s="15"/>
    </row>
    <row r="251" spans="9:9" x14ac:dyDescent="0.25">
      <c r="I251" s="15"/>
    </row>
    <row r="252" spans="9:9" x14ac:dyDescent="0.25">
      <c r="I252" s="15"/>
    </row>
    <row r="253" spans="9:9" x14ac:dyDescent="0.25">
      <c r="I253" s="15"/>
    </row>
    <row r="254" spans="9:9" x14ac:dyDescent="0.25">
      <c r="I254" s="15"/>
    </row>
    <row r="255" spans="9:9" x14ac:dyDescent="0.25">
      <c r="I255" s="15"/>
    </row>
    <row r="256" spans="9:9" x14ac:dyDescent="0.25">
      <c r="I256" s="15"/>
    </row>
    <row r="257" spans="9:9" x14ac:dyDescent="0.25">
      <c r="I257" s="15"/>
    </row>
    <row r="258" spans="9:9" x14ac:dyDescent="0.25">
      <c r="I258" s="15"/>
    </row>
    <row r="259" spans="9:9" x14ac:dyDescent="0.25">
      <c r="I259" s="15"/>
    </row>
    <row r="260" spans="9:9" x14ac:dyDescent="0.25">
      <c r="I260" s="15"/>
    </row>
    <row r="261" spans="9:9" x14ac:dyDescent="0.25">
      <c r="I261" s="15"/>
    </row>
    <row r="262" spans="9:9" x14ac:dyDescent="0.25">
      <c r="I262" s="15"/>
    </row>
    <row r="263" spans="9:9" x14ac:dyDescent="0.25">
      <c r="I263" s="15"/>
    </row>
    <row r="264" spans="9:9" x14ac:dyDescent="0.25">
      <c r="I264" s="15"/>
    </row>
    <row r="265" spans="9:9" x14ac:dyDescent="0.25">
      <c r="I265" s="15"/>
    </row>
    <row r="266" spans="9:9" x14ac:dyDescent="0.25">
      <c r="I266" s="15"/>
    </row>
    <row r="267" spans="9:9" x14ac:dyDescent="0.25">
      <c r="I267" s="15"/>
    </row>
    <row r="268" spans="9:9" x14ac:dyDescent="0.25">
      <c r="I268" s="15"/>
    </row>
    <row r="269" spans="9:9" x14ac:dyDescent="0.25">
      <c r="I269" s="15"/>
    </row>
    <row r="270" spans="9:9" x14ac:dyDescent="0.25">
      <c r="I270" s="15"/>
    </row>
    <row r="271" spans="9:9" x14ac:dyDescent="0.25">
      <c r="I271" s="15"/>
    </row>
    <row r="272" spans="9:9" x14ac:dyDescent="0.25">
      <c r="I272" s="15"/>
    </row>
    <row r="273" spans="9:9" x14ac:dyDescent="0.25">
      <c r="I273" s="15"/>
    </row>
    <row r="274" spans="9:9" x14ac:dyDescent="0.25">
      <c r="I274" s="15"/>
    </row>
    <row r="275" spans="9:9" x14ac:dyDescent="0.25">
      <c r="I275" s="15"/>
    </row>
    <row r="276" spans="9:9" x14ac:dyDescent="0.25">
      <c r="I276" s="15"/>
    </row>
    <row r="277" spans="9:9" x14ac:dyDescent="0.25">
      <c r="I277" s="15"/>
    </row>
    <row r="278" spans="9:9" x14ac:dyDescent="0.25">
      <c r="I278" s="15"/>
    </row>
    <row r="279" spans="9:9" x14ac:dyDescent="0.25">
      <c r="I279" s="15"/>
    </row>
    <row r="280" spans="9:9" x14ac:dyDescent="0.25">
      <c r="I280" s="15"/>
    </row>
    <row r="281" spans="9:9" x14ac:dyDescent="0.25">
      <c r="I281" s="15"/>
    </row>
    <row r="282" spans="9:9" x14ac:dyDescent="0.25">
      <c r="I282" s="15"/>
    </row>
    <row r="283" spans="9:9" x14ac:dyDescent="0.25">
      <c r="I283" s="15"/>
    </row>
    <row r="284" spans="9:9" x14ac:dyDescent="0.25">
      <c r="I284" s="15"/>
    </row>
    <row r="285" spans="9:9" x14ac:dyDescent="0.25">
      <c r="I285" s="15"/>
    </row>
    <row r="286" spans="9:9" x14ac:dyDescent="0.25">
      <c r="I286" s="15"/>
    </row>
    <row r="287" spans="9:9" x14ac:dyDescent="0.25">
      <c r="I287" s="15"/>
    </row>
    <row r="288" spans="9:9" x14ac:dyDescent="0.25">
      <c r="I288" s="15"/>
    </row>
    <row r="289" spans="9:9" x14ac:dyDescent="0.25">
      <c r="I289" s="15"/>
    </row>
    <row r="290" spans="9:9" x14ac:dyDescent="0.25">
      <c r="I290" s="15"/>
    </row>
    <row r="291" spans="9:9" x14ac:dyDescent="0.25">
      <c r="I291" s="15"/>
    </row>
    <row r="292" spans="9:9" x14ac:dyDescent="0.25">
      <c r="I292" s="15"/>
    </row>
    <row r="293" spans="9:9" x14ac:dyDescent="0.25">
      <c r="I293" s="15"/>
    </row>
    <row r="294" spans="9:9" x14ac:dyDescent="0.25">
      <c r="I294" s="15"/>
    </row>
    <row r="295" spans="9:9" x14ac:dyDescent="0.25">
      <c r="I295" s="15"/>
    </row>
    <row r="296" spans="9:9" x14ac:dyDescent="0.25">
      <c r="I296" s="15"/>
    </row>
    <row r="297" spans="9:9" x14ac:dyDescent="0.25">
      <c r="I297" s="15"/>
    </row>
    <row r="298" spans="9:9" x14ac:dyDescent="0.25">
      <c r="I298" s="15"/>
    </row>
    <row r="299" spans="9:9" x14ac:dyDescent="0.25">
      <c r="I299" s="15"/>
    </row>
    <row r="300" spans="9:9" x14ac:dyDescent="0.25">
      <c r="I300" s="15"/>
    </row>
    <row r="301" spans="9:9" x14ac:dyDescent="0.25">
      <c r="I301" s="15"/>
    </row>
    <row r="302" spans="9:9" x14ac:dyDescent="0.25">
      <c r="I302" s="15"/>
    </row>
    <row r="303" spans="9:9" x14ac:dyDescent="0.25">
      <c r="I303" s="15"/>
    </row>
    <row r="304" spans="9:9" x14ac:dyDescent="0.25">
      <c r="I304" s="15"/>
    </row>
    <row r="305" spans="9:9" x14ac:dyDescent="0.25">
      <c r="I305" s="15"/>
    </row>
    <row r="306" spans="9:9" x14ac:dyDescent="0.25">
      <c r="I306" s="15"/>
    </row>
    <row r="307" spans="9:9" x14ac:dyDescent="0.25">
      <c r="I307" s="15"/>
    </row>
    <row r="308" spans="9:9" x14ac:dyDescent="0.25">
      <c r="I308" s="15"/>
    </row>
    <row r="309" spans="9:9" x14ac:dyDescent="0.25">
      <c r="I309" s="15"/>
    </row>
    <row r="310" spans="9:9" x14ac:dyDescent="0.25">
      <c r="I310" s="15"/>
    </row>
    <row r="311" spans="9:9" x14ac:dyDescent="0.25">
      <c r="I311" s="15"/>
    </row>
    <row r="312" spans="9:9" x14ac:dyDescent="0.25">
      <c r="I312" s="15"/>
    </row>
    <row r="313" spans="9:9" x14ac:dyDescent="0.25">
      <c r="I313" s="15"/>
    </row>
    <row r="314" spans="9:9" x14ac:dyDescent="0.25">
      <c r="I314" s="15"/>
    </row>
    <row r="315" spans="9:9" x14ac:dyDescent="0.25">
      <c r="I315" s="15"/>
    </row>
    <row r="316" spans="9:9" x14ac:dyDescent="0.25">
      <c r="I316" s="15"/>
    </row>
    <row r="317" spans="9:9" x14ac:dyDescent="0.25">
      <c r="I317" s="15"/>
    </row>
    <row r="318" spans="9:9" x14ac:dyDescent="0.25">
      <c r="I318" s="15"/>
    </row>
    <row r="319" spans="9:9" x14ac:dyDescent="0.25">
      <c r="I319" s="15"/>
    </row>
    <row r="320" spans="9:9" x14ac:dyDescent="0.25">
      <c r="I320" s="15"/>
    </row>
    <row r="321" spans="9:9" x14ac:dyDescent="0.25">
      <c r="I321" s="15"/>
    </row>
    <row r="322" spans="9:9" x14ac:dyDescent="0.25">
      <c r="I322" s="15"/>
    </row>
    <row r="323" spans="9:9" x14ac:dyDescent="0.25">
      <c r="I323" s="15"/>
    </row>
    <row r="324" spans="9:9" x14ac:dyDescent="0.25">
      <c r="I324" s="15"/>
    </row>
    <row r="325" spans="9:9" x14ac:dyDescent="0.25">
      <c r="I325" s="15"/>
    </row>
    <row r="326" spans="9:9" x14ac:dyDescent="0.25">
      <c r="I326" s="15"/>
    </row>
    <row r="327" spans="9:9" x14ac:dyDescent="0.25">
      <c r="I327" s="15"/>
    </row>
    <row r="328" spans="9:9" x14ac:dyDescent="0.25">
      <c r="I328" s="15"/>
    </row>
    <row r="329" spans="9:9" x14ac:dyDescent="0.25">
      <c r="I329" s="15"/>
    </row>
    <row r="330" spans="9:9" x14ac:dyDescent="0.25">
      <c r="I330" s="15"/>
    </row>
    <row r="331" spans="9:9" x14ac:dyDescent="0.25">
      <c r="I331" s="15"/>
    </row>
    <row r="332" spans="9:9" x14ac:dyDescent="0.25">
      <c r="I332" s="15"/>
    </row>
    <row r="333" spans="9:9" x14ac:dyDescent="0.25">
      <c r="I333" s="15"/>
    </row>
    <row r="334" spans="9:9" x14ac:dyDescent="0.25">
      <c r="I334" s="15"/>
    </row>
    <row r="335" spans="9:9" x14ac:dyDescent="0.25">
      <c r="I335" s="15"/>
    </row>
    <row r="336" spans="9:9" x14ac:dyDescent="0.25">
      <c r="I336" s="15"/>
    </row>
    <row r="337" spans="9:9" x14ac:dyDescent="0.25">
      <c r="I337" s="15"/>
    </row>
    <row r="338" spans="9:9" x14ac:dyDescent="0.25">
      <c r="I338" s="15"/>
    </row>
    <row r="339" spans="9:9" x14ac:dyDescent="0.25">
      <c r="I339" s="15"/>
    </row>
    <row r="340" spans="9:9" x14ac:dyDescent="0.25">
      <c r="I340" s="15"/>
    </row>
    <row r="341" spans="9:9" x14ac:dyDescent="0.25">
      <c r="I341" s="15"/>
    </row>
    <row r="342" spans="9:9" x14ac:dyDescent="0.25">
      <c r="I342" s="15"/>
    </row>
    <row r="343" spans="9:9" x14ac:dyDescent="0.25">
      <c r="I343" s="15"/>
    </row>
    <row r="344" spans="9:9" x14ac:dyDescent="0.25">
      <c r="I344" s="15"/>
    </row>
    <row r="345" spans="9:9" x14ac:dyDescent="0.25">
      <c r="I345" s="15"/>
    </row>
    <row r="346" spans="9:9" x14ac:dyDescent="0.25">
      <c r="I346" s="15"/>
    </row>
    <row r="347" spans="9:9" x14ac:dyDescent="0.25">
      <c r="I347" s="15"/>
    </row>
    <row r="348" spans="9:9" x14ac:dyDescent="0.25">
      <c r="I348" s="15"/>
    </row>
    <row r="349" spans="9:9" x14ac:dyDescent="0.25">
      <c r="I349" s="15"/>
    </row>
    <row r="350" spans="9:9" x14ac:dyDescent="0.25">
      <c r="I350" s="15"/>
    </row>
    <row r="351" spans="9:9" x14ac:dyDescent="0.25">
      <c r="I351" s="15"/>
    </row>
    <row r="352" spans="9:9" x14ac:dyDescent="0.25">
      <c r="I352" s="15"/>
    </row>
    <row r="353" spans="9:9" x14ac:dyDescent="0.25">
      <c r="I353" s="15"/>
    </row>
    <row r="354" spans="9:9" x14ac:dyDescent="0.25">
      <c r="I354" s="15"/>
    </row>
    <row r="355" spans="9:9" x14ac:dyDescent="0.25">
      <c r="I355" s="15"/>
    </row>
    <row r="356" spans="9:9" x14ac:dyDescent="0.25">
      <c r="I356" s="15"/>
    </row>
    <row r="357" spans="9:9" x14ac:dyDescent="0.25">
      <c r="I357" s="15"/>
    </row>
    <row r="358" spans="9:9" x14ac:dyDescent="0.25">
      <c r="I358" s="15"/>
    </row>
    <row r="359" spans="9:9" x14ac:dyDescent="0.25">
      <c r="I359" s="15"/>
    </row>
    <row r="360" spans="9:9" x14ac:dyDescent="0.25">
      <c r="I360" s="15"/>
    </row>
    <row r="361" spans="9:9" x14ac:dyDescent="0.25">
      <c r="I361" s="15"/>
    </row>
    <row r="362" spans="9:9" x14ac:dyDescent="0.25">
      <c r="I362" s="15"/>
    </row>
    <row r="363" spans="9:9" x14ac:dyDescent="0.25">
      <c r="I363" s="15"/>
    </row>
    <row r="364" spans="9:9" x14ac:dyDescent="0.25">
      <c r="I364" s="15"/>
    </row>
    <row r="365" spans="9:9" x14ac:dyDescent="0.25">
      <c r="I365" s="15"/>
    </row>
    <row r="366" spans="9:9" x14ac:dyDescent="0.25">
      <c r="I366" s="15"/>
    </row>
    <row r="367" spans="9:9" x14ac:dyDescent="0.25">
      <c r="I367" s="15"/>
    </row>
    <row r="368" spans="9:9" x14ac:dyDescent="0.25">
      <c r="I368" s="15"/>
    </row>
    <row r="369" spans="9:9" x14ac:dyDescent="0.25">
      <c r="I369" s="15"/>
    </row>
    <row r="370" spans="9:9" x14ac:dyDescent="0.25">
      <c r="I370" s="15"/>
    </row>
    <row r="371" spans="9:9" x14ac:dyDescent="0.25">
      <c r="I371" s="15"/>
    </row>
    <row r="372" spans="9:9" x14ac:dyDescent="0.25">
      <c r="I372" s="15"/>
    </row>
    <row r="373" spans="9:9" x14ac:dyDescent="0.25">
      <c r="I373" s="15"/>
    </row>
    <row r="374" spans="9:9" x14ac:dyDescent="0.25">
      <c r="I374" s="15"/>
    </row>
    <row r="375" spans="9:9" x14ac:dyDescent="0.25">
      <c r="I375" s="15"/>
    </row>
    <row r="376" spans="9:9" x14ac:dyDescent="0.25">
      <c r="I376" s="15"/>
    </row>
    <row r="377" spans="9:9" x14ac:dyDescent="0.25">
      <c r="I377" s="15"/>
    </row>
    <row r="378" spans="9:9" x14ac:dyDescent="0.25">
      <c r="I378" s="15"/>
    </row>
    <row r="379" spans="9:9" x14ac:dyDescent="0.25">
      <c r="I379" s="15"/>
    </row>
    <row r="380" spans="9:9" x14ac:dyDescent="0.25">
      <c r="I380" s="15"/>
    </row>
    <row r="381" spans="9:9" x14ac:dyDescent="0.25">
      <c r="I381" s="15"/>
    </row>
    <row r="382" spans="9:9" x14ac:dyDescent="0.25">
      <c r="I382" s="15"/>
    </row>
    <row r="383" spans="9:9" x14ac:dyDescent="0.25">
      <c r="I383" s="15"/>
    </row>
    <row r="384" spans="9:9" x14ac:dyDescent="0.25">
      <c r="I384" s="15"/>
    </row>
    <row r="385" spans="9:9" x14ac:dyDescent="0.25">
      <c r="I385" s="15"/>
    </row>
    <row r="386" spans="9:9" x14ac:dyDescent="0.25">
      <c r="I386" s="15"/>
    </row>
    <row r="387" spans="9:9" x14ac:dyDescent="0.25">
      <c r="I387" s="15"/>
    </row>
    <row r="388" spans="9:9" x14ac:dyDescent="0.25">
      <c r="I388" s="15"/>
    </row>
    <row r="389" spans="9:9" x14ac:dyDescent="0.25">
      <c r="I389" s="15"/>
    </row>
    <row r="390" spans="9:9" x14ac:dyDescent="0.25">
      <c r="I390" s="15"/>
    </row>
    <row r="391" spans="9:9" x14ac:dyDescent="0.25">
      <c r="I391" s="15"/>
    </row>
    <row r="392" spans="9:9" x14ac:dyDescent="0.25">
      <c r="I392" s="15"/>
    </row>
    <row r="393" spans="9:9" x14ac:dyDescent="0.25">
      <c r="I393" s="15"/>
    </row>
    <row r="394" spans="9:9" x14ac:dyDescent="0.25">
      <c r="I394" s="15"/>
    </row>
    <row r="395" spans="9:9" x14ac:dyDescent="0.25">
      <c r="I395" s="15"/>
    </row>
    <row r="396" spans="9:9" x14ac:dyDescent="0.25">
      <c r="I396" s="15"/>
    </row>
    <row r="397" spans="9:9" x14ac:dyDescent="0.25">
      <c r="I397" s="15"/>
    </row>
    <row r="398" spans="9:9" x14ac:dyDescent="0.25">
      <c r="I398" s="15"/>
    </row>
    <row r="399" spans="9:9" x14ac:dyDescent="0.25">
      <c r="I399" s="15"/>
    </row>
    <row r="400" spans="9:9" x14ac:dyDescent="0.25">
      <c r="I400" s="15"/>
    </row>
    <row r="401" spans="9:9" x14ac:dyDescent="0.25">
      <c r="I401" s="15"/>
    </row>
    <row r="402" spans="9:9" x14ac:dyDescent="0.25">
      <c r="I402" s="15"/>
    </row>
    <row r="403" spans="9:9" x14ac:dyDescent="0.25">
      <c r="I403" s="15"/>
    </row>
    <row r="404" spans="9:9" x14ac:dyDescent="0.25">
      <c r="I404" s="15"/>
    </row>
    <row r="405" spans="9:9" x14ac:dyDescent="0.25">
      <c r="I405" s="15"/>
    </row>
    <row r="406" spans="9:9" x14ac:dyDescent="0.25">
      <c r="I406" s="15"/>
    </row>
    <row r="407" spans="9:9" x14ac:dyDescent="0.25">
      <c r="I407" s="15"/>
    </row>
    <row r="408" spans="9:9" x14ac:dyDescent="0.25">
      <c r="I408" s="15"/>
    </row>
    <row r="409" spans="9:9" x14ac:dyDescent="0.25">
      <c r="I409" s="15"/>
    </row>
    <row r="410" spans="9:9" x14ac:dyDescent="0.25">
      <c r="I410" s="15"/>
    </row>
    <row r="411" spans="9:9" x14ac:dyDescent="0.25">
      <c r="I411" s="15"/>
    </row>
    <row r="412" spans="9:9" x14ac:dyDescent="0.25">
      <c r="I412" s="15"/>
    </row>
    <row r="413" spans="9:9" x14ac:dyDescent="0.25">
      <c r="I413" s="15"/>
    </row>
    <row r="414" spans="9:9" x14ac:dyDescent="0.25">
      <c r="I414" s="15"/>
    </row>
    <row r="415" spans="9:9" x14ac:dyDescent="0.25">
      <c r="I415" s="15"/>
    </row>
    <row r="416" spans="9:9" x14ac:dyDescent="0.25">
      <c r="I416" s="15"/>
    </row>
    <row r="417" spans="9:9" x14ac:dyDescent="0.25">
      <c r="I417" s="15"/>
    </row>
    <row r="418" spans="9:9" x14ac:dyDescent="0.25">
      <c r="I418" s="15"/>
    </row>
    <row r="419" spans="9:9" x14ac:dyDescent="0.25">
      <c r="I419" s="15"/>
    </row>
    <row r="420" spans="9:9" x14ac:dyDescent="0.25">
      <c r="I420" s="15"/>
    </row>
    <row r="421" spans="9:9" x14ac:dyDescent="0.25">
      <c r="I421" s="15"/>
    </row>
    <row r="422" spans="9:9" x14ac:dyDescent="0.25">
      <c r="I422" s="15"/>
    </row>
    <row r="423" spans="9:9" x14ac:dyDescent="0.25">
      <c r="I423" s="15"/>
    </row>
    <row r="424" spans="9:9" x14ac:dyDescent="0.25">
      <c r="I424" s="15"/>
    </row>
    <row r="425" spans="9:9" x14ac:dyDescent="0.25">
      <c r="I425" s="15"/>
    </row>
    <row r="426" spans="9:9" x14ac:dyDescent="0.25">
      <c r="I426" s="15"/>
    </row>
    <row r="427" spans="9:9" x14ac:dyDescent="0.25">
      <c r="I427" s="15"/>
    </row>
    <row r="428" spans="9:9" x14ac:dyDescent="0.25">
      <c r="I428" s="15"/>
    </row>
    <row r="429" spans="9:9" x14ac:dyDescent="0.25">
      <c r="I429" s="15"/>
    </row>
    <row r="430" spans="9:9" x14ac:dyDescent="0.25">
      <c r="I430" s="15"/>
    </row>
    <row r="431" spans="9:9" x14ac:dyDescent="0.25">
      <c r="I431" s="15"/>
    </row>
    <row r="432" spans="9:9" x14ac:dyDescent="0.25">
      <c r="I432" s="15"/>
    </row>
    <row r="433" spans="9:9" x14ac:dyDescent="0.25">
      <c r="I433" s="15"/>
    </row>
    <row r="434" spans="9:9" x14ac:dyDescent="0.25">
      <c r="I434" s="15"/>
    </row>
    <row r="435" spans="9:9" x14ac:dyDescent="0.25">
      <c r="I435" s="15"/>
    </row>
    <row r="436" spans="9:9" x14ac:dyDescent="0.25">
      <c r="I436" s="15"/>
    </row>
    <row r="437" spans="9:9" x14ac:dyDescent="0.25">
      <c r="I437" s="15"/>
    </row>
    <row r="438" spans="9:9" x14ac:dyDescent="0.25">
      <c r="I438" s="15"/>
    </row>
    <row r="439" spans="9:9" x14ac:dyDescent="0.25">
      <c r="I439" s="15"/>
    </row>
    <row r="440" spans="9:9" x14ac:dyDescent="0.25">
      <c r="I440" s="15"/>
    </row>
    <row r="441" spans="9:9" x14ac:dyDescent="0.25">
      <c r="I441" s="15"/>
    </row>
    <row r="442" spans="9:9" x14ac:dyDescent="0.25">
      <c r="I442" s="15"/>
    </row>
    <row r="5641" spans="1:1" x14ac:dyDescent="0.25">
      <c r="A5641" s="2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D1" sqref="D1"/>
    </sheetView>
  </sheetViews>
  <sheetFormatPr defaultRowHeight="15" x14ac:dyDescent="0.25"/>
  <cols>
    <col min="1" max="1" width="11.5703125" bestFit="1" customWidth="1"/>
    <col min="2" max="2" width="24" bestFit="1" customWidth="1"/>
    <col min="3" max="3" width="24" customWidth="1"/>
    <col min="4" max="4" width="25" bestFit="1" customWidth="1"/>
    <col min="5" max="5" width="20" style="3" bestFit="1" customWidth="1"/>
    <col min="6" max="6" width="26.140625" bestFit="1" customWidth="1"/>
  </cols>
  <sheetData>
    <row r="1" spans="1:6" x14ac:dyDescent="0.25">
      <c r="A1" s="4" t="s">
        <v>0</v>
      </c>
      <c r="B1" s="5" t="s">
        <v>72</v>
      </c>
      <c r="C1" s="30" t="s">
        <v>1</v>
      </c>
      <c r="D1" t="s">
        <v>76</v>
      </c>
      <c r="E1" s="3" t="s">
        <v>32</v>
      </c>
      <c r="F1" t="s">
        <v>37</v>
      </c>
    </row>
    <row r="2" spans="1:6" x14ac:dyDescent="0.25">
      <c r="A2" t="s">
        <v>7</v>
      </c>
      <c r="B2" t="s">
        <v>8</v>
      </c>
      <c r="C2" t="s">
        <v>8</v>
      </c>
      <c r="D2">
        <v>2500</v>
      </c>
      <c r="E2" s="3">
        <f>SUMIFS(Daily_Report!E:E,Daily_Report!B:B,Table2[[#This Row],[UserID]])</f>
        <v>1198.6487662696618</v>
      </c>
      <c r="F2" t="s">
        <v>38</v>
      </c>
    </row>
    <row r="3" spans="1:6" x14ac:dyDescent="0.25">
      <c r="A3" t="s">
        <v>12</v>
      </c>
      <c r="B3" t="s">
        <v>13</v>
      </c>
      <c r="C3" t="s">
        <v>73</v>
      </c>
      <c r="D3">
        <v>1500</v>
      </c>
      <c r="E3" s="3">
        <f>SUMIFS(Daily_Report!E:E,Daily_Report!B:B,Table2[[#This Row],[UserID]])</f>
        <v>829.31884391175436</v>
      </c>
      <c r="F3" t="s">
        <v>42</v>
      </c>
    </row>
    <row r="4" spans="1:6" x14ac:dyDescent="0.25">
      <c r="A4" t="s">
        <v>14</v>
      </c>
      <c r="B4" t="s">
        <v>15</v>
      </c>
      <c r="C4" t="s">
        <v>74</v>
      </c>
      <c r="D4">
        <v>500</v>
      </c>
      <c r="E4" s="3">
        <f>SUMIFS(Daily_Report!E:E,Daily_Report!B:B,Table2[[#This Row],[UserID]])</f>
        <v>294.25369239660279</v>
      </c>
      <c r="F4" t="s">
        <v>44</v>
      </c>
    </row>
    <row r="5" spans="1:6" x14ac:dyDescent="0.25">
      <c r="A5" t="s">
        <v>17</v>
      </c>
      <c r="B5" t="s">
        <v>18</v>
      </c>
      <c r="C5" t="s">
        <v>75</v>
      </c>
      <c r="D5">
        <v>1500</v>
      </c>
      <c r="E5" s="3">
        <f>SUMIFS(Daily_Report!E:E,Daily_Report!B:B,Table2[[#This Row],[UserID]])</f>
        <v>826.14996607869739</v>
      </c>
      <c r="F5" t="s">
        <v>41</v>
      </c>
    </row>
    <row r="6" spans="1:6" x14ac:dyDescent="0.25">
      <c r="A6" t="s">
        <v>19</v>
      </c>
      <c r="B6" t="s">
        <v>20</v>
      </c>
      <c r="C6" t="s">
        <v>77</v>
      </c>
      <c r="D6">
        <v>1000</v>
      </c>
      <c r="E6" s="3">
        <f>SUMIFS(Daily_Report!E:E,Daily_Report!B:B,Table2[[#This Row],[UserID]])</f>
        <v>313.04998869289915</v>
      </c>
      <c r="F6" t="s">
        <v>40</v>
      </c>
    </row>
    <row r="7" spans="1:6" x14ac:dyDescent="0.25">
      <c r="A7" t="s">
        <v>21</v>
      </c>
      <c r="B7" t="s">
        <v>22</v>
      </c>
      <c r="C7" t="s">
        <v>78</v>
      </c>
      <c r="D7">
        <v>2000</v>
      </c>
      <c r="E7" s="3">
        <f>SUMIFS(Daily_Report!E:E,Daily_Report!B:B,Table2[[#This Row],[UserID]])</f>
        <v>1101.5332881049296</v>
      </c>
      <c r="F7" t="s">
        <v>43</v>
      </c>
    </row>
    <row r="8" spans="1:6" x14ac:dyDescent="0.25">
      <c r="A8" t="s">
        <v>50</v>
      </c>
      <c r="B8" t="s">
        <v>51</v>
      </c>
      <c r="C8" t="s">
        <v>51</v>
      </c>
      <c r="D8">
        <v>2000</v>
      </c>
      <c r="E8" s="3">
        <f>SUMIFS(Daily_Report!E:E,Daily_Report!B:B,Table2[[#This Row],[UserID]])</f>
        <v>908.63030303030314</v>
      </c>
      <c r="F8" t="s">
        <v>58</v>
      </c>
    </row>
    <row r="9" spans="1:6" x14ac:dyDescent="0.25">
      <c r="A9" t="s">
        <v>59</v>
      </c>
      <c r="B9" t="s">
        <v>60</v>
      </c>
      <c r="C9" t="s">
        <v>60</v>
      </c>
      <c r="D9">
        <v>1000</v>
      </c>
      <c r="E9" s="3">
        <f>SUMIFS(Daily_Report!E:E,Daily_Report!B:B,Table2[[#This Row],[UserID]])</f>
        <v>231.5151515151515</v>
      </c>
      <c r="F9" t="s">
        <v>65</v>
      </c>
    </row>
  </sheetData>
  <hyperlinks>
    <hyperlink ref="F6" r:id="rId1"/>
    <hyperlink ref="F8" r:id="rId2"/>
    <hyperlink ref="F9" r:id="rId3"/>
  </hyperlinks>
  <pageMargins left="0.7" right="0.7" top="0.75" bottom="0.75" header="0.3" footer="0.3"/>
  <pageSetup orientation="portrait"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2"/>
  <sheetViews>
    <sheetView tabSelected="1" topLeftCell="A82" workbookViewId="0">
      <selection activeCell="H102" sqref="H102"/>
    </sheetView>
  </sheetViews>
  <sheetFormatPr defaultRowHeight="15" x14ac:dyDescent="0.25"/>
  <cols>
    <col min="1" max="1" width="10.7109375" style="14" bestFit="1" customWidth="1"/>
    <col min="2" max="2" width="11.5703125" style="14" bestFit="1" customWidth="1"/>
    <col min="3" max="3" width="19.28515625" style="14" bestFit="1" customWidth="1"/>
    <col min="4" max="4" width="26.140625" style="14" bestFit="1" customWidth="1"/>
    <col min="5" max="5" width="10.5703125" style="15" bestFit="1" customWidth="1"/>
    <col min="6" max="6" width="13.42578125" style="14" bestFit="1" customWidth="1"/>
    <col min="7" max="16384" width="9.140625" style="14"/>
  </cols>
  <sheetData>
    <row r="1" spans="1:6" x14ac:dyDescent="0.25">
      <c r="A1" s="6" t="s">
        <v>2</v>
      </c>
      <c r="B1" s="6" t="s">
        <v>0</v>
      </c>
      <c r="C1" s="6" t="s">
        <v>4</v>
      </c>
      <c r="D1" s="6" t="s">
        <v>10</v>
      </c>
      <c r="E1" s="7" t="s">
        <v>3</v>
      </c>
      <c r="F1" s="6" t="s">
        <v>24</v>
      </c>
    </row>
    <row r="2" spans="1:6" x14ac:dyDescent="0.25">
      <c r="A2" s="27">
        <v>45981</v>
      </c>
      <c r="B2" s="8" t="s">
        <v>7</v>
      </c>
      <c r="C2" s="8">
        <v>1700</v>
      </c>
      <c r="D2" s="8">
        <v>2700</v>
      </c>
      <c r="E2" s="9">
        <v>64.159259259259258</v>
      </c>
      <c r="F2" s="8" t="s">
        <v>39</v>
      </c>
    </row>
    <row r="3" spans="1:6" x14ac:dyDescent="0.25">
      <c r="A3" s="28">
        <v>45981</v>
      </c>
      <c r="B3" s="10" t="s">
        <v>12</v>
      </c>
      <c r="C3" s="10">
        <v>500</v>
      </c>
      <c r="D3" s="14">
        <v>2700</v>
      </c>
      <c r="E3" s="11">
        <v>18.87037037037037</v>
      </c>
      <c r="F3" s="14" t="s">
        <v>39</v>
      </c>
    </row>
    <row r="4" spans="1:6" x14ac:dyDescent="0.25">
      <c r="A4" s="27">
        <v>45981</v>
      </c>
      <c r="B4" s="12" t="s">
        <v>14</v>
      </c>
      <c r="C4" s="12">
        <v>500</v>
      </c>
      <c r="D4" s="8">
        <v>2700</v>
      </c>
      <c r="E4" s="13">
        <v>18.87037037037037</v>
      </c>
      <c r="F4" s="8" t="s">
        <v>39</v>
      </c>
    </row>
    <row r="5" spans="1:6" x14ac:dyDescent="0.25">
      <c r="A5" s="28">
        <v>45982</v>
      </c>
      <c r="B5" s="14" t="s">
        <v>7</v>
      </c>
      <c r="C5" s="14">
        <v>1700</v>
      </c>
      <c r="D5" s="14">
        <v>6700</v>
      </c>
      <c r="E5" s="15">
        <v>26.692537313432837</v>
      </c>
      <c r="F5" s="14" t="s">
        <v>39</v>
      </c>
    </row>
    <row r="6" spans="1:6" x14ac:dyDescent="0.25">
      <c r="A6" s="28">
        <v>45982</v>
      </c>
      <c r="B6" s="14" t="s">
        <v>12</v>
      </c>
      <c r="C6" s="14">
        <v>500</v>
      </c>
      <c r="D6" s="14">
        <v>6700</v>
      </c>
      <c r="E6" s="15">
        <v>7.8507462686567155</v>
      </c>
      <c r="F6" s="8" t="s">
        <v>39</v>
      </c>
    </row>
    <row r="7" spans="1:6" x14ac:dyDescent="0.25">
      <c r="A7" s="28">
        <v>45982</v>
      </c>
      <c r="B7" s="14" t="s">
        <v>14</v>
      </c>
      <c r="C7" s="14">
        <v>500</v>
      </c>
      <c r="D7" s="14">
        <v>6700</v>
      </c>
      <c r="E7" s="15">
        <v>7.8507462686567155</v>
      </c>
      <c r="F7" s="14" t="s">
        <v>39</v>
      </c>
    </row>
    <row r="8" spans="1:6" x14ac:dyDescent="0.25">
      <c r="A8" s="28">
        <v>45982</v>
      </c>
      <c r="B8" s="14" t="s">
        <v>17</v>
      </c>
      <c r="C8" s="14">
        <v>1500</v>
      </c>
      <c r="D8" s="14">
        <v>6700</v>
      </c>
      <c r="E8" s="15">
        <v>23.552238805970152</v>
      </c>
      <c r="F8" s="8" t="s">
        <v>39</v>
      </c>
    </row>
    <row r="9" spans="1:6" x14ac:dyDescent="0.25">
      <c r="A9" s="28">
        <v>45982</v>
      </c>
      <c r="B9" s="14" t="s">
        <v>19</v>
      </c>
      <c r="C9" s="14">
        <v>500</v>
      </c>
      <c r="D9" s="14">
        <v>6700</v>
      </c>
      <c r="E9" s="15">
        <v>7.8507462686567155</v>
      </c>
      <c r="F9" s="14" t="s">
        <v>39</v>
      </c>
    </row>
    <row r="10" spans="1:6" x14ac:dyDescent="0.25">
      <c r="A10" s="28">
        <v>45982</v>
      </c>
      <c r="B10" s="14" t="s">
        <v>21</v>
      </c>
      <c r="C10" s="14">
        <v>2000</v>
      </c>
      <c r="D10" s="14">
        <v>6700</v>
      </c>
      <c r="E10" s="15">
        <v>31.402985074626862</v>
      </c>
      <c r="F10" s="8" t="s">
        <v>39</v>
      </c>
    </row>
    <row r="11" spans="1:6" x14ac:dyDescent="0.25">
      <c r="D11" s="16"/>
    </row>
    <row r="12" spans="1:6" x14ac:dyDescent="0.25">
      <c r="A12" s="28">
        <v>45992</v>
      </c>
      <c r="B12" s="14" t="s">
        <v>7</v>
      </c>
      <c r="C12" s="14">
        <v>2000</v>
      </c>
      <c r="D12" s="16">
        <v>8000</v>
      </c>
      <c r="E12" s="15">
        <v>57.5</v>
      </c>
      <c r="F12" s="14" t="s">
        <v>39</v>
      </c>
    </row>
    <row r="13" spans="1:6" x14ac:dyDescent="0.25">
      <c r="A13" s="28">
        <v>45992</v>
      </c>
      <c r="B13" s="14" t="s">
        <v>12</v>
      </c>
      <c r="C13" s="14">
        <v>1500</v>
      </c>
      <c r="D13" s="16">
        <v>8000</v>
      </c>
      <c r="E13" s="15">
        <v>43.125</v>
      </c>
      <c r="F13" s="14" t="s">
        <v>39</v>
      </c>
    </row>
    <row r="14" spans="1:6" x14ac:dyDescent="0.25">
      <c r="A14" s="28">
        <v>45992</v>
      </c>
      <c r="B14" s="14" t="s">
        <v>14</v>
      </c>
      <c r="C14" s="14">
        <v>500</v>
      </c>
      <c r="D14" s="16">
        <v>8000</v>
      </c>
      <c r="E14" s="15">
        <v>14.375</v>
      </c>
      <c r="F14" s="14" t="s">
        <v>39</v>
      </c>
    </row>
    <row r="15" spans="1:6" x14ac:dyDescent="0.25">
      <c r="A15" s="28">
        <v>45992</v>
      </c>
      <c r="B15" s="14" t="s">
        <v>17</v>
      </c>
      <c r="C15" s="14">
        <v>1500</v>
      </c>
      <c r="D15" s="16">
        <v>8000</v>
      </c>
      <c r="E15" s="15">
        <v>43.125</v>
      </c>
      <c r="F15" s="14" t="s">
        <v>39</v>
      </c>
    </row>
    <row r="16" spans="1:6" x14ac:dyDescent="0.25">
      <c r="A16" s="28">
        <v>45992</v>
      </c>
      <c r="B16" s="14" t="s">
        <v>19</v>
      </c>
      <c r="C16" s="14">
        <v>500</v>
      </c>
      <c r="D16" s="16">
        <v>8000</v>
      </c>
      <c r="E16" s="15">
        <v>14.375</v>
      </c>
      <c r="F16" s="14" t="s">
        <v>39</v>
      </c>
    </row>
    <row r="17" spans="1:6" x14ac:dyDescent="0.25">
      <c r="A17" s="28">
        <v>45992</v>
      </c>
      <c r="B17" s="14" t="s">
        <v>21</v>
      </c>
      <c r="C17" s="14">
        <v>2000</v>
      </c>
      <c r="D17" s="16">
        <v>8000</v>
      </c>
      <c r="E17" s="15">
        <v>57.5</v>
      </c>
      <c r="F17" s="14" t="s">
        <v>39</v>
      </c>
    </row>
    <row r="18" spans="1:6" x14ac:dyDescent="0.25">
      <c r="D18" s="16"/>
    </row>
    <row r="19" spans="1:6" x14ac:dyDescent="0.25">
      <c r="A19" s="28">
        <v>45993</v>
      </c>
      <c r="B19" s="14" t="s">
        <v>7</v>
      </c>
      <c r="C19" s="14">
        <v>2000</v>
      </c>
      <c r="D19" s="16">
        <v>8000</v>
      </c>
      <c r="E19" s="15">
        <v>104</v>
      </c>
      <c r="F19" s="14" t="s">
        <v>39</v>
      </c>
    </row>
    <row r="20" spans="1:6" x14ac:dyDescent="0.25">
      <c r="A20" s="28">
        <v>45993</v>
      </c>
      <c r="B20" s="14" t="s">
        <v>12</v>
      </c>
      <c r="C20" s="14">
        <v>1500</v>
      </c>
      <c r="D20" s="16">
        <v>8000</v>
      </c>
      <c r="E20" s="15">
        <v>78</v>
      </c>
      <c r="F20" s="14" t="s">
        <v>39</v>
      </c>
    </row>
    <row r="21" spans="1:6" x14ac:dyDescent="0.25">
      <c r="A21" s="28">
        <v>45993</v>
      </c>
      <c r="B21" s="14" t="s">
        <v>14</v>
      </c>
      <c r="C21" s="14">
        <v>500</v>
      </c>
      <c r="D21" s="16">
        <v>8000</v>
      </c>
      <c r="E21" s="15">
        <v>26</v>
      </c>
      <c r="F21" s="14" t="s">
        <v>39</v>
      </c>
    </row>
    <row r="22" spans="1:6" x14ac:dyDescent="0.25">
      <c r="A22" s="28">
        <v>45993</v>
      </c>
      <c r="B22" s="14" t="s">
        <v>17</v>
      </c>
      <c r="C22" s="14">
        <v>1500</v>
      </c>
      <c r="D22" s="16">
        <v>8000</v>
      </c>
      <c r="E22" s="15">
        <v>78</v>
      </c>
      <c r="F22" s="14" t="s">
        <v>39</v>
      </c>
    </row>
    <row r="23" spans="1:6" x14ac:dyDescent="0.25">
      <c r="A23" s="28">
        <v>45993</v>
      </c>
      <c r="B23" s="14" t="s">
        <v>19</v>
      </c>
      <c r="C23" s="14">
        <v>500</v>
      </c>
      <c r="D23" s="16">
        <v>8000</v>
      </c>
      <c r="E23" s="15">
        <v>26</v>
      </c>
      <c r="F23" s="14" t="s">
        <v>39</v>
      </c>
    </row>
    <row r="24" spans="1:6" x14ac:dyDescent="0.25">
      <c r="A24" s="28">
        <v>45993</v>
      </c>
      <c r="B24" s="14" t="s">
        <v>21</v>
      </c>
      <c r="C24" s="14">
        <v>2000</v>
      </c>
      <c r="D24" s="16">
        <v>8000</v>
      </c>
      <c r="E24" s="15">
        <v>104</v>
      </c>
      <c r="F24" s="14" t="s">
        <v>39</v>
      </c>
    </row>
    <row r="25" spans="1:6" x14ac:dyDescent="0.25">
      <c r="D25" s="16"/>
    </row>
    <row r="26" spans="1:6" x14ac:dyDescent="0.25">
      <c r="A26" s="28">
        <v>45994</v>
      </c>
      <c r="B26" s="14" t="s">
        <v>7</v>
      </c>
      <c r="C26" s="14">
        <v>2000</v>
      </c>
      <c r="D26" s="16">
        <v>10000</v>
      </c>
      <c r="E26" s="15">
        <v>60</v>
      </c>
      <c r="F26" s="14" t="s">
        <v>39</v>
      </c>
    </row>
    <row r="27" spans="1:6" x14ac:dyDescent="0.25">
      <c r="A27" s="28">
        <v>45994</v>
      </c>
      <c r="B27" s="14" t="s">
        <v>12</v>
      </c>
      <c r="C27" s="14">
        <v>1500</v>
      </c>
      <c r="D27" s="16">
        <v>10000</v>
      </c>
      <c r="E27" s="15">
        <v>45</v>
      </c>
      <c r="F27" s="14" t="s">
        <v>39</v>
      </c>
    </row>
    <row r="28" spans="1:6" x14ac:dyDescent="0.25">
      <c r="A28" s="28">
        <v>45994</v>
      </c>
      <c r="B28" s="14" t="s">
        <v>14</v>
      </c>
      <c r="C28" s="14">
        <v>500</v>
      </c>
      <c r="D28" s="16">
        <v>10000</v>
      </c>
      <c r="E28" s="15">
        <v>15</v>
      </c>
      <c r="F28" s="14" t="s">
        <v>39</v>
      </c>
    </row>
    <row r="29" spans="1:6" x14ac:dyDescent="0.25">
      <c r="A29" s="28">
        <v>45994</v>
      </c>
      <c r="B29" s="14" t="s">
        <v>17</v>
      </c>
      <c r="C29" s="14">
        <v>1500</v>
      </c>
      <c r="D29" s="16">
        <v>10000</v>
      </c>
      <c r="E29" s="15">
        <v>45</v>
      </c>
      <c r="F29" s="14" t="s">
        <v>39</v>
      </c>
    </row>
    <row r="30" spans="1:6" x14ac:dyDescent="0.25">
      <c r="A30" s="28">
        <v>45994</v>
      </c>
      <c r="B30" s="14" t="s">
        <v>19</v>
      </c>
      <c r="C30" s="14">
        <v>500</v>
      </c>
      <c r="D30" s="16">
        <v>10000</v>
      </c>
      <c r="E30" s="15">
        <v>15</v>
      </c>
      <c r="F30" s="14" t="s">
        <v>39</v>
      </c>
    </row>
    <row r="31" spans="1:6" x14ac:dyDescent="0.25">
      <c r="A31" s="28">
        <v>45994</v>
      </c>
      <c r="B31" s="14" t="s">
        <v>21</v>
      </c>
      <c r="C31" s="14">
        <v>2000</v>
      </c>
      <c r="D31" s="16">
        <v>10000</v>
      </c>
      <c r="E31" s="15">
        <v>60</v>
      </c>
      <c r="F31" s="14" t="s">
        <v>39</v>
      </c>
    </row>
    <row r="32" spans="1:6" x14ac:dyDescent="0.25">
      <c r="A32" s="28">
        <v>45994</v>
      </c>
      <c r="B32" s="14" t="s">
        <v>50</v>
      </c>
      <c r="C32" s="14">
        <v>2000</v>
      </c>
      <c r="D32" s="16">
        <v>10000</v>
      </c>
      <c r="E32" s="15">
        <v>60</v>
      </c>
      <c r="F32" s="14" t="s">
        <v>39</v>
      </c>
    </row>
    <row r="33" spans="1:6" x14ac:dyDescent="0.25">
      <c r="D33" s="16"/>
    </row>
    <row r="34" spans="1:6" x14ac:dyDescent="0.25">
      <c r="A34" s="28">
        <v>45995</v>
      </c>
      <c r="B34" s="14" t="s">
        <v>7</v>
      </c>
      <c r="C34" s="14">
        <v>2000</v>
      </c>
      <c r="D34" s="16">
        <v>10000</v>
      </c>
      <c r="E34" s="15">
        <v>82.2</v>
      </c>
      <c r="F34" s="14" t="s">
        <v>39</v>
      </c>
    </row>
    <row r="35" spans="1:6" x14ac:dyDescent="0.25">
      <c r="A35" s="28">
        <v>45995</v>
      </c>
      <c r="B35" s="14" t="s">
        <v>12</v>
      </c>
      <c r="C35" s="14">
        <v>1500</v>
      </c>
      <c r="D35" s="16">
        <v>10000</v>
      </c>
      <c r="E35" s="15">
        <v>61.65</v>
      </c>
      <c r="F35" s="14" t="s">
        <v>39</v>
      </c>
    </row>
    <row r="36" spans="1:6" x14ac:dyDescent="0.25">
      <c r="A36" s="28">
        <v>45995</v>
      </c>
      <c r="B36" s="14" t="s">
        <v>14</v>
      </c>
      <c r="C36" s="14">
        <v>500</v>
      </c>
      <c r="D36" s="16">
        <v>10000</v>
      </c>
      <c r="E36" s="15">
        <v>20.55</v>
      </c>
      <c r="F36" s="14" t="s">
        <v>39</v>
      </c>
    </row>
    <row r="37" spans="1:6" x14ac:dyDescent="0.25">
      <c r="A37" s="28">
        <v>45995</v>
      </c>
      <c r="B37" s="14" t="s">
        <v>17</v>
      </c>
      <c r="C37" s="14">
        <v>1500</v>
      </c>
      <c r="D37" s="16">
        <v>10000</v>
      </c>
      <c r="E37" s="15">
        <v>61.65</v>
      </c>
      <c r="F37" s="14" t="s">
        <v>39</v>
      </c>
    </row>
    <row r="38" spans="1:6" x14ac:dyDescent="0.25">
      <c r="A38" s="28">
        <v>45995</v>
      </c>
      <c r="B38" s="14" t="s">
        <v>19</v>
      </c>
      <c r="C38" s="14">
        <v>500</v>
      </c>
      <c r="D38" s="16">
        <v>10000</v>
      </c>
      <c r="E38" s="15">
        <v>20.55</v>
      </c>
      <c r="F38" s="14" t="s">
        <v>39</v>
      </c>
    </row>
    <row r="39" spans="1:6" x14ac:dyDescent="0.25">
      <c r="A39" s="28">
        <v>45995</v>
      </c>
      <c r="B39" s="14" t="s">
        <v>21</v>
      </c>
      <c r="C39" s="14">
        <v>2000</v>
      </c>
      <c r="D39" s="16">
        <v>10000</v>
      </c>
      <c r="E39" s="15">
        <v>82.2</v>
      </c>
      <c r="F39" s="14" t="s">
        <v>39</v>
      </c>
    </row>
    <row r="40" spans="1:6" x14ac:dyDescent="0.25">
      <c r="A40" s="28">
        <v>45995</v>
      </c>
      <c r="B40" s="14" t="s">
        <v>50</v>
      </c>
      <c r="C40" s="14">
        <v>2000</v>
      </c>
      <c r="D40" s="16">
        <v>10000</v>
      </c>
      <c r="E40" s="15">
        <v>82.2</v>
      </c>
      <c r="F40" s="14" t="s">
        <v>39</v>
      </c>
    </row>
    <row r="41" spans="1:6" x14ac:dyDescent="0.25">
      <c r="D41" s="16"/>
    </row>
    <row r="42" spans="1:6" x14ac:dyDescent="0.25">
      <c r="A42" s="28">
        <v>45998</v>
      </c>
      <c r="B42" s="14" t="s">
        <v>7</v>
      </c>
      <c r="C42" s="14">
        <v>2000</v>
      </c>
      <c r="D42" s="16">
        <v>10000</v>
      </c>
      <c r="E42" s="15">
        <v>18.2</v>
      </c>
      <c r="F42" s="14" t="s">
        <v>39</v>
      </c>
    </row>
    <row r="43" spans="1:6" x14ac:dyDescent="0.25">
      <c r="A43" s="28">
        <v>45998</v>
      </c>
      <c r="B43" s="14" t="s">
        <v>12</v>
      </c>
      <c r="C43" s="14">
        <v>1500</v>
      </c>
      <c r="D43" s="16">
        <v>10000</v>
      </c>
      <c r="E43" s="15">
        <v>13.65</v>
      </c>
      <c r="F43" s="14" t="s">
        <v>39</v>
      </c>
    </row>
    <row r="44" spans="1:6" x14ac:dyDescent="0.25">
      <c r="A44" s="28">
        <v>45998</v>
      </c>
      <c r="B44" s="14" t="s">
        <v>14</v>
      </c>
      <c r="C44" s="14">
        <v>500</v>
      </c>
      <c r="D44" s="16">
        <v>10000</v>
      </c>
      <c r="E44" s="15">
        <v>4.55</v>
      </c>
      <c r="F44" s="14" t="s">
        <v>39</v>
      </c>
    </row>
    <row r="45" spans="1:6" x14ac:dyDescent="0.25">
      <c r="A45" s="28">
        <v>45998</v>
      </c>
      <c r="B45" s="14" t="s">
        <v>17</v>
      </c>
      <c r="C45" s="14">
        <v>1500</v>
      </c>
      <c r="D45" s="16">
        <v>10000</v>
      </c>
      <c r="E45" s="15">
        <v>13.65</v>
      </c>
      <c r="F45" s="14" t="s">
        <v>39</v>
      </c>
    </row>
    <row r="46" spans="1:6" x14ac:dyDescent="0.25">
      <c r="A46" s="28">
        <v>45998</v>
      </c>
      <c r="B46" s="14" t="s">
        <v>19</v>
      </c>
      <c r="C46" s="14">
        <v>500</v>
      </c>
      <c r="D46" s="16">
        <v>10000</v>
      </c>
      <c r="E46" s="15">
        <v>4.55</v>
      </c>
      <c r="F46" s="14" t="s">
        <v>39</v>
      </c>
    </row>
    <row r="47" spans="1:6" x14ac:dyDescent="0.25">
      <c r="A47" s="28">
        <v>45998</v>
      </c>
      <c r="B47" s="14" t="s">
        <v>21</v>
      </c>
      <c r="C47" s="14">
        <v>2000</v>
      </c>
      <c r="D47" s="16">
        <v>10000</v>
      </c>
      <c r="E47" s="15">
        <v>18.2</v>
      </c>
      <c r="F47" s="14" t="s">
        <v>39</v>
      </c>
    </row>
    <row r="48" spans="1:6" x14ac:dyDescent="0.25">
      <c r="A48" s="28">
        <v>45998</v>
      </c>
      <c r="B48" s="14" t="s">
        <v>50</v>
      </c>
      <c r="C48" s="14">
        <v>2000</v>
      </c>
      <c r="D48" s="16">
        <v>10000</v>
      </c>
      <c r="E48" s="15">
        <v>18.2</v>
      </c>
      <c r="F48" s="14" t="s">
        <v>39</v>
      </c>
    </row>
    <row r="49" spans="1:6" x14ac:dyDescent="0.25">
      <c r="D49" s="16"/>
    </row>
    <row r="50" spans="1:6" x14ac:dyDescent="0.25">
      <c r="A50" s="28">
        <v>45999</v>
      </c>
      <c r="B50" s="14" t="s">
        <v>7</v>
      </c>
      <c r="C50" s="14">
        <v>2000</v>
      </c>
      <c r="D50" s="16">
        <v>10000</v>
      </c>
      <c r="E50" s="15">
        <v>140.6</v>
      </c>
      <c r="F50" s="14" t="s">
        <v>39</v>
      </c>
    </row>
    <row r="51" spans="1:6" x14ac:dyDescent="0.25">
      <c r="A51" s="28">
        <v>45999</v>
      </c>
      <c r="B51" s="14" t="s">
        <v>12</v>
      </c>
      <c r="C51" s="14">
        <v>1500</v>
      </c>
      <c r="D51" s="16">
        <v>10000</v>
      </c>
      <c r="E51" s="15">
        <v>105.45</v>
      </c>
      <c r="F51" s="14" t="s">
        <v>39</v>
      </c>
    </row>
    <row r="52" spans="1:6" x14ac:dyDescent="0.25">
      <c r="A52" s="28">
        <v>45999</v>
      </c>
      <c r="B52" s="14" t="s">
        <v>14</v>
      </c>
      <c r="C52" s="14">
        <v>500</v>
      </c>
      <c r="D52" s="16">
        <v>10000</v>
      </c>
      <c r="E52" s="15">
        <v>35.15</v>
      </c>
      <c r="F52" s="14" t="s">
        <v>39</v>
      </c>
    </row>
    <row r="53" spans="1:6" x14ac:dyDescent="0.25">
      <c r="A53" s="28">
        <v>45999</v>
      </c>
      <c r="B53" s="14" t="s">
        <v>17</v>
      </c>
      <c r="C53" s="14">
        <v>1500</v>
      </c>
      <c r="D53" s="16">
        <v>10000</v>
      </c>
      <c r="E53" s="15">
        <v>105.45</v>
      </c>
      <c r="F53" s="14" t="s">
        <v>39</v>
      </c>
    </row>
    <row r="54" spans="1:6" x14ac:dyDescent="0.25">
      <c r="A54" s="28">
        <v>45999</v>
      </c>
      <c r="B54" s="14" t="s">
        <v>19</v>
      </c>
      <c r="C54" s="14">
        <v>500</v>
      </c>
      <c r="D54" s="16">
        <v>10000</v>
      </c>
      <c r="E54" s="15">
        <v>35.15</v>
      </c>
      <c r="F54" s="14" t="s">
        <v>39</v>
      </c>
    </row>
    <row r="55" spans="1:6" x14ac:dyDescent="0.25">
      <c r="A55" s="28">
        <v>45999</v>
      </c>
      <c r="B55" s="14" t="s">
        <v>21</v>
      </c>
      <c r="C55" s="14">
        <v>2000</v>
      </c>
      <c r="D55" s="16">
        <v>10000</v>
      </c>
      <c r="E55" s="15">
        <v>140.6</v>
      </c>
      <c r="F55" s="14" t="s">
        <v>39</v>
      </c>
    </row>
    <row r="56" spans="1:6" x14ac:dyDescent="0.25">
      <c r="A56" s="28">
        <v>45999</v>
      </c>
      <c r="B56" s="14" t="s">
        <v>50</v>
      </c>
      <c r="C56" s="14">
        <v>2000</v>
      </c>
      <c r="D56" s="16">
        <v>10000</v>
      </c>
      <c r="E56" s="15">
        <v>140.6</v>
      </c>
      <c r="F56" s="14" t="s">
        <v>39</v>
      </c>
    </row>
    <row r="57" spans="1:6" x14ac:dyDescent="0.25">
      <c r="D57" s="16"/>
    </row>
    <row r="58" spans="1:6" x14ac:dyDescent="0.25">
      <c r="A58" s="28">
        <v>46000</v>
      </c>
      <c r="B58" s="14" t="s">
        <v>7</v>
      </c>
      <c r="C58" s="14">
        <v>2000</v>
      </c>
      <c r="D58" s="16">
        <v>10000</v>
      </c>
      <c r="E58" s="15">
        <v>144.6</v>
      </c>
      <c r="F58" s="14" t="s">
        <v>39</v>
      </c>
    </row>
    <row r="59" spans="1:6" x14ac:dyDescent="0.25">
      <c r="A59" s="28">
        <v>46000</v>
      </c>
      <c r="B59" s="14" t="s">
        <v>12</v>
      </c>
      <c r="C59" s="14">
        <v>1500</v>
      </c>
      <c r="D59" s="16">
        <v>10000</v>
      </c>
      <c r="E59" s="15">
        <v>108.45</v>
      </c>
      <c r="F59" s="14" t="s">
        <v>39</v>
      </c>
    </row>
    <row r="60" spans="1:6" x14ac:dyDescent="0.25">
      <c r="A60" s="28">
        <v>46000</v>
      </c>
      <c r="B60" s="14" t="s">
        <v>14</v>
      </c>
      <c r="C60" s="14">
        <v>500</v>
      </c>
      <c r="D60" s="16">
        <v>10000</v>
      </c>
      <c r="E60" s="15">
        <v>36.15</v>
      </c>
      <c r="F60" s="14" t="s">
        <v>39</v>
      </c>
    </row>
    <row r="61" spans="1:6" x14ac:dyDescent="0.25">
      <c r="A61" s="28">
        <v>46000</v>
      </c>
      <c r="B61" s="14" t="s">
        <v>17</v>
      </c>
      <c r="C61" s="14">
        <v>1500</v>
      </c>
      <c r="D61" s="16">
        <v>10000</v>
      </c>
      <c r="E61" s="15">
        <v>108.45</v>
      </c>
      <c r="F61" s="14" t="s">
        <v>39</v>
      </c>
    </row>
    <row r="62" spans="1:6" x14ac:dyDescent="0.25">
      <c r="A62" s="28">
        <v>46000</v>
      </c>
      <c r="B62" s="14" t="s">
        <v>19</v>
      </c>
      <c r="C62" s="14">
        <v>500</v>
      </c>
      <c r="D62" s="16">
        <v>10000</v>
      </c>
      <c r="E62" s="15">
        <v>36.15</v>
      </c>
      <c r="F62" s="14" t="s">
        <v>39</v>
      </c>
    </row>
    <row r="63" spans="1:6" x14ac:dyDescent="0.25">
      <c r="A63" s="28">
        <v>46000</v>
      </c>
      <c r="B63" s="14" t="s">
        <v>21</v>
      </c>
      <c r="C63" s="14">
        <v>2000</v>
      </c>
      <c r="D63" s="16">
        <v>10000</v>
      </c>
      <c r="E63" s="15">
        <v>144.6</v>
      </c>
      <c r="F63" s="14" t="s">
        <v>39</v>
      </c>
    </row>
    <row r="64" spans="1:6" x14ac:dyDescent="0.25">
      <c r="A64" s="28">
        <v>46000</v>
      </c>
      <c r="B64" s="14" t="s">
        <v>50</v>
      </c>
      <c r="C64" s="14">
        <v>2000</v>
      </c>
      <c r="D64" s="16">
        <v>10000</v>
      </c>
      <c r="E64" s="15">
        <v>144.6</v>
      </c>
      <c r="F64" s="14" t="s">
        <v>39</v>
      </c>
    </row>
    <row r="65" spans="1:6" x14ac:dyDescent="0.25">
      <c r="D65" s="16"/>
    </row>
    <row r="66" spans="1:6" x14ac:dyDescent="0.25">
      <c r="A66" s="28">
        <v>46001</v>
      </c>
      <c r="B66" s="14" t="s">
        <v>7</v>
      </c>
      <c r="C66" s="14">
        <v>2000</v>
      </c>
      <c r="D66" s="16">
        <v>11000</v>
      </c>
      <c r="E66" s="15">
        <v>34.545454545454547</v>
      </c>
      <c r="F66" s="14" t="s">
        <v>39</v>
      </c>
    </row>
    <row r="67" spans="1:6" x14ac:dyDescent="0.25">
      <c r="A67" s="28">
        <v>46001</v>
      </c>
      <c r="B67" s="14" t="s">
        <v>12</v>
      </c>
      <c r="C67" s="14">
        <v>1500</v>
      </c>
      <c r="D67" s="16">
        <v>11000</v>
      </c>
      <c r="E67" s="15">
        <v>25.909090909090907</v>
      </c>
      <c r="F67" s="14" t="s">
        <v>39</v>
      </c>
    </row>
    <row r="68" spans="1:6" x14ac:dyDescent="0.25">
      <c r="A68" s="28">
        <v>46001</v>
      </c>
      <c r="B68" s="14" t="s">
        <v>14</v>
      </c>
      <c r="C68" s="14">
        <v>500</v>
      </c>
      <c r="D68" s="16">
        <v>11000</v>
      </c>
      <c r="E68" s="15">
        <v>8.6363636363636367</v>
      </c>
      <c r="F68" s="14" t="s">
        <v>39</v>
      </c>
    </row>
    <row r="69" spans="1:6" x14ac:dyDescent="0.25">
      <c r="A69" s="28">
        <v>46001</v>
      </c>
      <c r="B69" s="14" t="s">
        <v>17</v>
      </c>
      <c r="C69" s="14">
        <v>1500</v>
      </c>
      <c r="D69" s="16">
        <v>11000</v>
      </c>
      <c r="E69" s="15">
        <v>25.909090909090907</v>
      </c>
      <c r="F69" s="14" t="s">
        <v>39</v>
      </c>
    </row>
    <row r="70" spans="1:6" x14ac:dyDescent="0.25">
      <c r="A70" s="28">
        <v>46001</v>
      </c>
      <c r="B70" s="14" t="s">
        <v>19</v>
      </c>
      <c r="C70" s="14">
        <v>500</v>
      </c>
      <c r="D70" s="16">
        <v>11000</v>
      </c>
      <c r="E70" s="15">
        <v>8.6363636363636367</v>
      </c>
      <c r="F70" s="14" t="s">
        <v>39</v>
      </c>
    </row>
    <row r="71" spans="1:6" x14ac:dyDescent="0.25">
      <c r="A71" s="28">
        <v>46001</v>
      </c>
      <c r="B71" s="14" t="s">
        <v>21</v>
      </c>
      <c r="C71" s="14">
        <v>2000</v>
      </c>
      <c r="D71" s="16">
        <v>11000</v>
      </c>
      <c r="E71" s="15">
        <v>34.545454545454547</v>
      </c>
      <c r="F71" s="14" t="s">
        <v>39</v>
      </c>
    </row>
    <row r="72" spans="1:6" x14ac:dyDescent="0.25">
      <c r="A72" s="28">
        <v>46001</v>
      </c>
      <c r="B72" s="14" t="s">
        <v>50</v>
      </c>
      <c r="C72" s="14">
        <v>2000</v>
      </c>
      <c r="D72" s="16">
        <v>11000</v>
      </c>
      <c r="E72" s="15">
        <v>34.545454545454547</v>
      </c>
      <c r="F72" s="14" t="s">
        <v>39</v>
      </c>
    </row>
    <row r="73" spans="1:6" x14ac:dyDescent="0.25">
      <c r="A73" s="28">
        <v>46001</v>
      </c>
      <c r="B73" s="14" t="s">
        <v>59</v>
      </c>
      <c r="C73" s="14">
        <v>1000</v>
      </c>
      <c r="D73" s="16">
        <v>11000</v>
      </c>
      <c r="E73" s="15">
        <v>17.272727272727273</v>
      </c>
      <c r="F73" s="14" t="s">
        <v>39</v>
      </c>
    </row>
    <row r="74" spans="1:6" x14ac:dyDescent="0.25">
      <c r="D74" s="16"/>
    </row>
    <row r="75" spans="1:6" x14ac:dyDescent="0.25">
      <c r="A75" s="28">
        <v>46002</v>
      </c>
      <c r="B75" s="14" t="s">
        <v>7</v>
      </c>
      <c r="C75" s="14">
        <v>2000</v>
      </c>
      <c r="D75" s="16">
        <v>11000</v>
      </c>
      <c r="E75" s="15">
        <v>149.27272727272728</v>
      </c>
      <c r="F75" s="14" t="s">
        <v>39</v>
      </c>
    </row>
    <row r="76" spans="1:6" x14ac:dyDescent="0.25">
      <c r="A76" s="28">
        <v>46002</v>
      </c>
      <c r="B76" s="14" t="s">
        <v>12</v>
      </c>
      <c r="C76" s="14">
        <v>1500</v>
      </c>
      <c r="D76" s="16">
        <v>11000</v>
      </c>
      <c r="E76" s="15">
        <v>111.95454545454545</v>
      </c>
      <c r="F76" s="14" t="s">
        <v>39</v>
      </c>
    </row>
    <row r="77" spans="1:6" x14ac:dyDescent="0.25">
      <c r="A77" s="28">
        <v>46002</v>
      </c>
      <c r="B77" s="14" t="s">
        <v>14</v>
      </c>
      <c r="C77" s="14">
        <v>500</v>
      </c>
      <c r="D77" s="16">
        <v>11000</v>
      </c>
      <c r="E77" s="15">
        <v>37.31818181818182</v>
      </c>
      <c r="F77" s="14" t="s">
        <v>39</v>
      </c>
    </row>
    <row r="78" spans="1:6" x14ac:dyDescent="0.25">
      <c r="A78" s="28">
        <v>46002</v>
      </c>
      <c r="B78" s="14" t="s">
        <v>17</v>
      </c>
      <c r="C78" s="14">
        <v>1500</v>
      </c>
      <c r="D78" s="16">
        <v>11000</v>
      </c>
      <c r="E78" s="15">
        <v>111.95454545454545</v>
      </c>
      <c r="F78" s="14" t="s">
        <v>39</v>
      </c>
    </row>
    <row r="79" spans="1:6" x14ac:dyDescent="0.25">
      <c r="A79" s="28">
        <v>46002</v>
      </c>
      <c r="B79" s="14" t="s">
        <v>19</v>
      </c>
      <c r="C79" s="14">
        <v>500</v>
      </c>
      <c r="D79" s="16">
        <v>11000</v>
      </c>
      <c r="E79" s="15">
        <v>37.31818181818182</v>
      </c>
      <c r="F79" s="14" t="s">
        <v>39</v>
      </c>
    </row>
    <row r="80" spans="1:6" x14ac:dyDescent="0.25">
      <c r="A80" s="28">
        <v>46002</v>
      </c>
      <c r="B80" s="14" t="s">
        <v>21</v>
      </c>
      <c r="C80" s="14">
        <v>2000</v>
      </c>
      <c r="D80" s="16">
        <v>11000</v>
      </c>
      <c r="E80" s="15">
        <v>149.27272727272728</v>
      </c>
      <c r="F80" s="14" t="s">
        <v>39</v>
      </c>
    </row>
    <row r="81" spans="1:6" x14ac:dyDescent="0.25">
      <c r="A81" s="28">
        <v>46002</v>
      </c>
      <c r="B81" s="14" t="s">
        <v>50</v>
      </c>
      <c r="C81" s="14">
        <v>2000</v>
      </c>
      <c r="D81" s="16">
        <v>11000</v>
      </c>
      <c r="E81" s="15">
        <v>149.27272727272728</v>
      </c>
      <c r="F81" s="14" t="s">
        <v>39</v>
      </c>
    </row>
    <row r="82" spans="1:6" x14ac:dyDescent="0.25">
      <c r="A82" s="28">
        <v>46002</v>
      </c>
      <c r="B82" s="14" t="s">
        <v>59</v>
      </c>
      <c r="C82" s="14">
        <v>1000</v>
      </c>
      <c r="D82" s="16">
        <v>11000</v>
      </c>
      <c r="E82" s="15">
        <v>74.63636363636364</v>
      </c>
      <c r="F82" s="14" t="s">
        <v>39</v>
      </c>
    </row>
    <row r="83" spans="1:6" x14ac:dyDescent="0.25">
      <c r="D83" s="16"/>
    </row>
    <row r="84" spans="1:6" x14ac:dyDescent="0.25">
      <c r="A84" s="28">
        <v>46003</v>
      </c>
      <c r="B84" s="14" t="s">
        <v>7</v>
      </c>
      <c r="C84" s="14">
        <v>2000</v>
      </c>
      <c r="D84" s="16">
        <v>11000</v>
      </c>
      <c r="E84" s="15">
        <v>128.54545454545456</v>
      </c>
      <c r="F84" s="14" t="s">
        <v>39</v>
      </c>
    </row>
    <row r="85" spans="1:6" x14ac:dyDescent="0.25">
      <c r="A85" s="28">
        <v>46003</v>
      </c>
      <c r="B85" s="14" t="s">
        <v>12</v>
      </c>
      <c r="C85" s="14">
        <v>1500</v>
      </c>
      <c r="D85" s="16">
        <v>11000</v>
      </c>
      <c r="E85" s="15">
        <v>96.409090909090907</v>
      </c>
      <c r="F85" s="14" t="s">
        <v>39</v>
      </c>
    </row>
    <row r="86" spans="1:6" x14ac:dyDescent="0.25">
      <c r="A86" s="28">
        <v>46003</v>
      </c>
      <c r="B86" s="14" t="s">
        <v>14</v>
      </c>
      <c r="C86" s="14">
        <v>500</v>
      </c>
      <c r="D86" s="16">
        <v>11000</v>
      </c>
      <c r="E86" s="15">
        <v>32.13636363636364</v>
      </c>
      <c r="F86" s="14" t="s">
        <v>39</v>
      </c>
    </row>
    <row r="87" spans="1:6" x14ac:dyDescent="0.25">
      <c r="A87" s="28">
        <v>46003</v>
      </c>
      <c r="B87" s="14" t="s">
        <v>17</v>
      </c>
      <c r="C87" s="14">
        <v>1500</v>
      </c>
      <c r="D87" s="16">
        <v>11000</v>
      </c>
      <c r="E87" s="15">
        <v>96.409090909090907</v>
      </c>
      <c r="F87" s="14" t="s">
        <v>39</v>
      </c>
    </row>
    <row r="88" spans="1:6" x14ac:dyDescent="0.25">
      <c r="A88" s="28">
        <v>46003</v>
      </c>
      <c r="B88" s="14" t="s">
        <v>19</v>
      </c>
      <c r="C88" s="14">
        <v>500</v>
      </c>
      <c r="D88" s="16">
        <v>11000</v>
      </c>
      <c r="E88" s="15">
        <v>32.13636363636364</v>
      </c>
      <c r="F88" s="14" t="s">
        <v>39</v>
      </c>
    </row>
    <row r="89" spans="1:6" x14ac:dyDescent="0.25">
      <c r="A89" s="28">
        <v>46003</v>
      </c>
      <c r="B89" s="14" t="s">
        <v>21</v>
      </c>
      <c r="C89" s="14">
        <v>2000</v>
      </c>
      <c r="D89" s="16">
        <v>11000</v>
      </c>
      <c r="E89" s="15">
        <v>128.54545454545456</v>
      </c>
      <c r="F89" s="14" t="s">
        <v>39</v>
      </c>
    </row>
    <row r="90" spans="1:6" x14ac:dyDescent="0.25">
      <c r="A90" s="28">
        <v>46003</v>
      </c>
      <c r="B90" s="14" t="s">
        <v>50</v>
      </c>
      <c r="C90" s="14">
        <v>2000</v>
      </c>
      <c r="D90" s="16">
        <v>11000</v>
      </c>
      <c r="E90" s="15">
        <v>128.54545454545456</v>
      </c>
      <c r="F90" s="14" t="s">
        <v>39</v>
      </c>
    </row>
    <row r="91" spans="1:6" x14ac:dyDescent="0.25">
      <c r="A91" s="28">
        <v>46003</v>
      </c>
      <c r="B91" s="14" t="s">
        <v>59</v>
      </c>
      <c r="C91" s="14">
        <v>1000</v>
      </c>
      <c r="D91" s="16">
        <v>11000</v>
      </c>
      <c r="E91" s="15">
        <v>64.27272727272728</v>
      </c>
      <c r="F91" s="14" t="s">
        <v>39</v>
      </c>
    </row>
    <row r="92" spans="1:6" x14ac:dyDescent="0.25">
      <c r="D92" s="16"/>
    </row>
    <row r="93" spans="1:6" x14ac:dyDescent="0.25">
      <c r="A93" s="28">
        <v>46004</v>
      </c>
      <c r="B93" s="14" t="s">
        <v>7</v>
      </c>
      <c r="C93" s="14">
        <v>2500</v>
      </c>
      <c r="D93" s="16">
        <v>12000</v>
      </c>
      <c r="E93" s="15">
        <v>97.916666666666671</v>
      </c>
      <c r="F93" s="14" t="s">
        <v>79</v>
      </c>
    </row>
    <row r="94" spans="1:6" x14ac:dyDescent="0.25">
      <c r="A94" s="28">
        <v>46004</v>
      </c>
      <c r="B94" s="14" t="s">
        <v>12</v>
      </c>
      <c r="C94" s="14">
        <v>1500</v>
      </c>
      <c r="D94" s="16">
        <v>12000</v>
      </c>
      <c r="E94" s="15">
        <v>58.75</v>
      </c>
      <c r="F94" s="14" t="s">
        <v>79</v>
      </c>
    </row>
    <row r="95" spans="1:6" x14ac:dyDescent="0.25">
      <c r="A95" s="28">
        <v>46004</v>
      </c>
      <c r="B95" s="14" t="s">
        <v>14</v>
      </c>
      <c r="C95" s="14">
        <v>500</v>
      </c>
      <c r="D95" s="16">
        <v>12000</v>
      </c>
      <c r="E95" s="15">
        <v>19.583333333333332</v>
      </c>
      <c r="F95" s="14" t="s">
        <v>79</v>
      </c>
    </row>
    <row r="96" spans="1:6" x14ac:dyDescent="0.25">
      <c r="A96" s="28">
        <v>46004</v>
      </c>
      <c r="B96" s="14" t="s">
        <v>17</v>
      </c>
      <c r="C96" s="14">
        <v>1500</v>
      </c>
      <c r="D96" s="16">
        <v>12000</v>
      </c>
      <c r="E96" s="15">
        <v>58.75</v>
      </c>
      <c r="F96" s="14" t="s">
        <v>79</v>
      </c>
    </row>
    <row r="97" spans="1:6" x14ac:dyDescent="0.25">
      <c r="A97" s="28">
        <v>46004</v>
      </c>
      <c r="B97" s="14" t="s">
        <v>19</v>
      </c>
      <c r="C97" s="14">
        <v>1000</v>
      </c>
      <c r="D97" s="16">
        <v>12000</v>
      </c>
      <c r="E97" s="15">
        <v>39.166666666666664</v>
      </c>
      <c r="F97" s="14" t="s">
        <v>79</v>
      </c>
    </row>
    <row r="98" spans="1:6" x14ac:dyDescent="0.25">
      <c r="A98" s="28">
        <v>46004</v>
      </c>
      <c r="B98" s="14" t="s">
        <v>21</v>
      </c>
      <c r="C98" s="14">
        <v>2000</v>
      </c>
      <c r="D98" s="16">
        <v>12000</v>
      </c>
      <c r="E98" s="15">
        <v>78.333333333333329</v>
      </c>
      <c r="F98" s="14" t="s">
        <v>79</v>
      </c>
    </row>
    <row r="99" spans="1:6" x14ac:dyDescent="0.25">
      <c r="A99" s="28">
        <v>46004</v>
      </c>
      <c r="B99" s="14" t="s">
        <v>50</v>
      </c>
      <c r="C99" s="14">
        <v>2000</v>
      </c>
      <c r="D99" s="16">
        <v>12000</v>
      </c>
      <c r="E99" s="15">
        <v>78.333333333333329</v>
      </c>
      <c r="F99" s="14" t="s">
        <v>79</v>
      </c>
    </row>
    <row r="100" spans="1:6" x14ac:dyDescent="0.25">
      <c r="A100" s="28">
        <v>46004</v>
      </c>
      <c r="B100" s="14" t="s">
        <v>59</v>
      </c>
      <c r="C100" s="14">
        <v>1000</v>
      </c>
      <c r="D100" s="16">
        <v>12000</v>
      </c>
      <c r="E100" s="15">
        <v>39.166666666666664</v>
      </c>
      <c r="F100" s="14" t="s">
        <v>79</v>
      </c>
    </row>
    <row r="101" spans="1:6" x14ac:dyDescent="0.25">
      <c r="D101" s="16"/>
    </row>
    <row r="102" spans="1:6" x14ac:dyDescent="0.25">
      <c r="A102" s="28">
        <v>46005</v>
      </c>
      <c r="B102" s="14" t="s">
        <v>7</v>
      </c>
      <c r="C102" s="14">
        <v>2500</v>
      </c>
      <c r="D102" s="16">
        <v>12000</v>
      </c>
      <c r="E102" s="15">
        <v>90.416666666666671</v>
      </c>
      <c r="F102" s="14" t="s">
        <v>79</v>
      </c>
    </row>
    <row r="103" spans="1:6" x14ac:dyDescent="0.25">
      <c r="A103" s="28">
        <v>46005</v>
      </c>
      <c r="B103" s="14" t="s">
        <v>12</v>
      </c>
      <c r="C103" s="14">
        <v>1500</v>
      </c>
      <c r="D103" s="16">
        <v>12000</v>
      </c>
      <c r="E103" s="15">
        <v>54.25</v>
      </c>
      <c r="F103" s="14" t="s">
        <v>79</v>
      </c>
    </row>
    <row r="104" spans="1:6" x14ac:dyDescent="0.25">
      <c r="A104" s="28">
        <v>46005</v>
      </c>
      <c r="B104" s="14" t="s">
        <v>14</v>
      </c>
      <c r="C104" s="14">
        <v>500</v>
      </c>
      <c r="D104" s="16">
        <v>12000</v>
      </c>
      <c r="E104" s="15">
        <v>18.083333333333332</v>
      </c>
      <c r="F104" s="14" t="s">
        <v>79</v>
      </c>
    </row>
    <row r="105" spans="1:6" x14ac:dyDescent="0.25">
      <c r="A105" s="28">
        <v>46005</v>
      </c>
      <c r="B105" s="14" t="s">
        <v>17</v>
      </c>
      <c r="C105" s="14">
        <v>1500</v>
      </c>
      <c r="D105" s="16">
        <v>12000</v>
      </c>
      <c r="E105" s="15">
        <v>54.25</v>
      </c>
      <c r="F105" s="14" t="s">
        <v>79</v>
      </c>
    </row>
    <row r="106" spans="1:6" x14ac:dyDescent="0.25">
      <c r="A106" s="28">
        <v>46005</v>
      </c>
      <c r="B106" s="14" t="s">
        <v>19</v>
      </c>
      <c r="C106" s="14">
        <v>1000</v>
      </c>
      <c r="D106" s="16">
        <v>12000</v>
      </c>
      <c r="E106" s="15">
        <v>36.166666666666664</v>
      </c>
      <c r="F106" s="14" t="s">
        <v>79</v>
      </c>
    </row>
    <row r="107" spans="1:6" x14ac:dyDescent="0.25">
      <c r="A107" s="28">
        <v>46005</v>
      </c>
      <c r="B107" s="14" t="s">
        <v>21</v>
      </c>
      <c r="C107" s="14">
        <v>2000</v>
      </c>
      <c r="D107" s="16">
        <v>12000</v>
      </c>
      <c r="E107" s="15">
        <v>72.333333333333329</v>
      </c>
      <c r="F107" s="14" t="s">
        <v>79</v>
      </c>
    </row>
    <row r="108" spans="1:6" x14ac:dyDescent="0.25">
      <c r="A108" s="28">
        <v>46005</v>
      </c>
      <c r="B108" s="14" t="s">
        <v>50</v>
      </c>
      <c r="C108" s="14">
        <v>2000</v>
      </c>
      <c r="D108" s="16">
        <v>12000</v>
      </c>
      <c r="E108" s="15">
        <v>72.333333333333329</v>
      </c>
      <c r="F108" s="14" t="s">
        <v>79</v>
      </c>
    </row>
    <row r="109" spans="1:6" x14ac:dyDescent="0.25">
      <c r="A109" s="28">
        <v>46005</v>
      </c>
      <c r="B109" s="14" t="s">
        <v>59</v>
      </c>
      <c r="C109" s="14">
        <v>1000</v>
      </c>
      <c r="D109" s="16">
        <v>12000</v>
      </c>
      <c r="E109" s="15">
        <v>36.166666666666664</v>
      </c>
      <c r="F109" s="14" t="s">
        <v>79</v>
      </c>
    </row>
    <row r="110" spans="1:6" x14ac:dyDescent="0.25">
      <c r="D110" s="16"/>
    </row>
    <row r="111" spans="1:6" x14ac:dyDescent="0.25">
      <c r="D111" s="16"/>
    </row>
    <row r="112" spans="1:6" x14ac:dyDescent="0.25">
      <c r="D112" s="16"/>
    </row>
    <row r="113" spans="4:4" x14ac:dyDescent="0.25">
      <c r="D113" s="16"/>
    </row>
    <row r="114" spans="4:4" x14ac:dyDescent="0.25">
      <c r="D114" s="16"/>
    </row>
    <row r="115" spans="4:4" x14ac:dyDescent="0.25">
      <c r="D115" s="16"/>
    </row>
    <row r="116" spans="4:4" x14ac:dyDescent="0.25">
      <c r="D116" s="16"/>
    </row>
    <row r="117" spans="4:4" x14ac:dyDescent="0.25">
      <c r="D117" s="16"/>
    </row>
    <row r="118" spans="4:4" x14ac:dyDescent="0.25">
      <c r="D118" s="16"/>
    </row>
    <row r="119" spans="4:4" x14ac:dyDescent="0.25">
      <c r="D119" s="16"/>
    </row>
    <row r="120" spans="4:4" x14ac:dyDescent="0.25">
      <c r="D120" s="16"/>
    </row>
    <row r="121" spans="4:4" x14ac:dyDescent="0.25">
      <c r="D121" s="16"/>
    </row>
    <row r="122" spans="4:4" x14ac:dyDescent="0.25">
      <c r="D122" s="16"/>
    </row>
    <row r="123" spans="4:4" x14ac:dyDescent="0.25">
      <c r="D123" s="16"/>
    </row>
    <row r="124" spans="4:4" x14ac:dyDescent="0.25">
      <c r="D124" s="16"/>
    </row>
    <row r="125" spans="4:4" x14ac:dyDescent="0.25">
      <c r="D125" s="16"/>
    </row>
    <row r="126" spans="4:4" x14ac:dyDescent="0.25">
      <c r="D126" s="16"/>
    </row>
    <row r="127" spans="4:4" x14ac:dyDescent="0.25">
      <c r="D127" s="16"/>
    </row>
    <row r="128" spans="4:4" x14ac:dyDescent="0.25">
      <c r="D128" s="16"/>
    </row>
    <row r="129" spans="4:4" x14ac:dyDescent="0.25">
      <c r="D129" s="16"/>
    </row>
    <row r="130" spans="4:4" x14ac:dyDescent="0.25">
      <c r="D130" s="16"/>
    </row>
    <row r="131" spans="4:4" x14ac:dyDescent="0.25">
      <c r="D131" s="16"/>
    </row>
    <row r="132" spans="4:4" x14ac:dyDescent="0.25">
      <c r="D132" s="16"/>
    </row>
    <row r="133" spans="4:4" x14ac:dyDescent="0.25">
      <c r="D133" s="16"/>
    </row>
    <row r="134" spans="4:4" x14ac:dyDescent="0.25">
      <c r="D134" s="16"/>
    </row>
    <row r="135" spans="4:4" x14ac:dyDescent="0.25">
      <c r="D135" s="16"/>
    </row>
    <row r="136" spans="4:4" x14ac:dyDescent="0.25">
      <c r="D136" s="16"/>
    </row>
    <row r="137" spans="4:4" x14ac:dyDescent="0.25">
      <c r="D137" s="16"/>
    </row>
    <row r="138" spans="4:4" x14ac:dyDescent="0.25">
      <c r="D138" s="16"/>
    </row>
    <row r="139" spans="4:4" x14ac:dyDescent="0.25">
      <c r="D139" s="16"/>
    </row>
    <row r="140" spans="4:4" x14ac:dyDescent="0.25">
      <c r="D140" s="16"/>
    </row>
    <row r="141" spans="4:4" x14ac:dyDescent="0.25">
      <c r="D141" s="16"/>
    </row>
    <row r="142" spans="4:4" x14ac:dyDescent="0.25">
      <c r="D142" s="16"/>
    </row>
    <row r="143" spans="4:4" x14ac:dyDescent="0.25">
      <c r="D143" s="16"/>
    </row>
    <row r="144" spans="4:4" x14ac:dyDescent="0.25">
      <c r="D144" s="16"/>
    </row>
    <row r="145" spans="4:4" x14ac:dyDescent="0.25">
      <c r="D145" s="16"/>
    </row>
    <row r="146" spans="4:4" x14ac:dyDescent="0.25">
      <c r="D146" s="16"/>
    </row>
    <row r="147" spans="4:4" x14ac:dyDescent="0.25">
      <c r="D147" s="16"/>
    </row>
    <row r="148" spans="4:4" x14ac:dyDescent="0.25">
      <c r="D148" s="16"/>
    </row>
    <row r="149" spans="4:4" x14ac:dyDescent="0.25">
      <c r="D149" s="16"/>
    </row>
    <row r="150" spans="4:4" x14ac:dyDescent="0.25">
      <c r="D150" s="16"/>
    </row>
    <row r="151" spans="4:4" x14ac:dyDescent="0.25">
      <c r="D151" s="16"/>
    </row>
    <row r="152" spans="4:4" x14ac:dyDescent="0.25">
      <c r="D152" s="16"/>
    </row>
    <row r="153" spans="4:4" x14ac:dyDescent="0.25">
      <c r="D153" s="16"/>
    </row>
    <row r="154" spans="4:4" x14ac:dyDescent="0.25">
      <c r="D154" s="16"/>
    </row>
    <row r="155" spans="4:4" x14ac:dyDescent="0.25">
      <c r="D155" s="16"/>
    </row>
    <row r="156" spans="4:4" x14ac:dyDescent="0.25">
      <c r="D156" s="16"/>
    </row>
    <row r="157" spans="4:4" x14ac:dyDescent="0.25">
      <c r="D157" s="16"/>
    </row>
    <row r="158" spans="4:4" x14ac:dyDescent="0.25">
      <c r="D158" s="16"/>
    </row>
    <row r="159" spans="4:4" x14ac:dyDescent="0.25">
      <c r="D159" s="16"/>
    </row>
    <row r="160" spans="4:4" x14ac:dyDescent="0.25">
      <c r="D160" s="16"/>
    </row>
    <row r="161" spans="4:4" x14ac:dyDescent="0.25">
      <c r="D161" s="16"/>
    </row>
    <row r="162" spans="4:4" x14ac:dyDescent="0.25">
      <c r="D162" s="16"/>
    </row>
    <row r="163" spans="4:4" x14ac:dyDescent="0.25">
      <c r="D163" s="16"/>
    </row>
    <row r="164" spans="4:4" x14ac:dyDescent="0.25">
      <c r="D164" s="16"/>
    </row>
    <row r="165" spans="4:4" x14ac:dyDescent="0.25">
      <c r="D165" s="16"/>
    </row>
    <row r="166" spans="4:4" x14ac:dyDescent="0.25">
      <c r="D166" s="16"/>
    </row>
    <row r="167" spans="4:4" x14ac:dyDescent="0.25">
      <c r="D167" s="16"/>
    </row>
    <row r="168" spans="4:4" x14ac:dyDescent="0.25">
      <c r="D168" s="16"/>
    </row>
    <row r="169" spans="4:4" x14ac:dyDescent="0.25">
      <c r="D169" s="16"/>
    </row>
    <row r="170" spans="4:4" x14ac:dyDescent="0.25">
      <c r="D170" s="16"/>
    </row>
    <row r="171" spans="4:4" x14ac:dyDescent="0.25">
      <c r="D171" s="16"/>
    </row>
    <row r="172" spans="4:4" x14ac:dyDescent="0.25">
      <c r="D172" s="16"/>
    </row>
    <row r="173" spans="4:4" x14ac:dyDescent="0.25">
      <c r="D173" s="16"/>
    </row>
    <row r="174" spans="4:4" x14ac:dyDescent="0.25">
      <c r="D174" s="16"/>
    </row>
    <row r="175" spans="4:4" x14ac:dyDescent="0.25">
      <c r="D175" s="16"/>
    </row>
    <row r="176" spans="4:4" x14ac:dyDescent="0.25">
      <c r="D176" s="16"/>
    </row>
    <row r="177" spans="4:4" x14ac:dyDescent="0.25">
      <c r="D177" s="16"/>
    </row>
    <row r="178" spans="4:4" x14ac:dyDescent="0.25">
      <c r="D178" s="16"/>
    </row>
    <row r="179" spans="4:4" x14ac:dyDescent="0.25">
      <c r="D179" s="16"/>
    </row>
    <row r="180" spans="4:4" x14ac:dyDescent="0.25">
      <c r="D180" s="16"/>
    </row>
    <row r="181" spans="4:4" x14ac:dyDescent="0.25">
      <c r="D181" s="16"/>
    </row>
    <row r="182" spans="4:4" x14ac:dyDescent="0.25">
      <c r="D182" s="16"/>
    </row>
    <row r="183" spans="4:4" x14ac:dyDescent="0.25">
      <c r="D183" s="16"/>
    </row>
    <row r="184" spans="4:4" x14ac:dyDescent="0.25">
      <c r="D184" s="16"/>
    </row>
    <row r="185" spans="4:4" x14ac:dyDescent="0.25">
      <c r="D185" s="16"/>
    </row>
    <row r="186" spans="4:4" x14ac:dyDescent="0.25">
      <c r="D186" s="16"/>
    </row>
    <row r="187" spans="4:4" x14ac:dyDescent="0.25">
      <c r="D187" s="16"/>
    </row>
    <row r="188" spans="4:4" x14ac:dyDescent="0.25">
      <c r="D188" s="16"/>
    </row>
    <row r="189" spans="4:4" x14ac:dyDescent="0.25">
      <c r="D189" s="16"/>
    </row>
    <row r="190" spans="4:4" x14ac:dyDescent="0.25">
      <c r="D190" s="16"/>
    </row>
    <row r="191" spans="4:4" x14ac:dyDescent="0.25">
      <c r="D191" s="16"/>
    </row>
    <row r="192" spans="4:4" x14ac:dyDescent="0.25">
      <c r="D192" s="16"/>
    </row>
    <row r="193" spans="4:4" x14ac:dyDescent="0.25">
      <c r="D193" s="16"/>
    </row>
    <row r="194" spans="4:4" x14ac:dyDescent="0.25">
      <c r="D194" s="16"/>
    </row>
    <row r="195" spans="4:4" x14ac:dyDescent="0.25">
      <c r="D195" s="16"/>
    </row>
    <row r="196" spans="4:4" x14ac:dyDescent="0.25">
      <c r="D196" s="16"/>
    </row>
    <row r="197" spans="4:4" x14ac:dyDescent="0.25">
      <c r="D197" s="16"/>
    </row>
    <row r="198" spans="4:4" x14ac:dyDescent="0.25">
      <c r="D198" s="16"/>
    </row>
    <row r="199" spans="4:4" x14ac:dyDescent="0.25">
      <c r="D199" s="16"/>
    </row>
    <row r="200" spans="4:4" x14ac:dyDescent="0.25">
      <c r="D200" s="16"/>
    </row>
    <row r="201" spans="4:4" x14ac:dyDescent="0.25">
      <c r="D201" s="16"/>
    </row>
    <row r="202" spans="4:4" x14ac:dyDescent="0.25">
      <c r="D202" s="16"/>
    </row>
    <row r="203" spans="4:4" x14ac:dyDescent="0.25">
      <c r="D203" s="16"/>
    </row>
    <row r="204" spans="4:4" x14ac:dyDescent="0.25">
      <c r="D204" s="16"/>
    </row>
    <row r="205" spans="4:4" x14ac:dyDescent="0.25">
      <c r="D205" s="16"/>
    </row>
    <row r="206" spans="4:4" x14ac:dyDescent="0.25">
      <c r="D206" s="16"/>
    </row>
    <row r="207" spans="4:4" x14ac:dyDescent="0.25">
      <c r="D207" s="16"/>
    </row>
    <row r="208" spans="4:4" x14ac:dyDescent="0.25">
      <c r="D208" s="16"/>
    </row>
    <row r="209" spans="4:4" x14ac:dyDescent="0.25">
      <c r="D209" s="16"/>
    </row>
    <row r="210" spans="4:4" x14ac:dyDescent="0.25">
      <c r="D210" s="16"/>
    </row>
    <row r="211" spans="4:4" x14ac:dyDescent="0.25">
      <c r="D211" s="16"/>
    </row>
    <row r="212" spans="4:4" x14ac:dyDescent="0.25">
      <c r="D212" s="16"/>
    </row>
    <row r="213" spans="4:4" x14ac:dyDescent="0.25">
      <c r="D213" s="16"/>
    </row>
    <row r="214" spans="4:4" x14ac:dyDescent="0.25">
      <c r="D214" s="16"/>
    </row>
    <row r="215" spans="4:4" x14ac:dyDescent="0.25">
      <c r="D215" s="16"/>
    </row>
    <row r="216" spans="4:4" x14ac:dyDescent="0.25">
      <c r="D216" s="16"/>
    </row>
    <row r="217" spans="4:4" x14ac:dyDescent="0.25">
      <c r="D217" s="16"/>
    </row>
    <row r="218" spans="4:4" x14ac:dyDescent="0.25">
      <c r="D218" s="16"/>
    </row>
    <row r="219" spans="4:4" x14ac:dyDescent="0.25">
      <c r="D219" s="16"/>
    </row>
    <row r="220" spans="4:4" x14ac:dyDescent="0.25">
      <c r="D220" s="16"/>
    </row>
    <row r="221" spans="4:4" x14ac:dyDescent="0.25">
      <c r="D221" s="16"/>
    </row>
    <row r="222" spans="4:4" x14ac:dyDescent="0.25">
      <c r="D222" s="16"/>
    </row>
    <row r="223" spans="4:4" x14ac:dyDescent="0.25">
      <c r="D223" s="16"/>
    </row>
    <row r="224" spans="4:4" x14ac:dyDescent="0.25">
      <c r="D224" s="16"/>
    </row>
    <row r="225" spans="4:4" x14ac:dyDescent="0.25">
      <c r="D225" s="16"/>
    </row>
    <row r="226" spans="4:4" x14ac:dyDescent="0.25">
      <c r="D226" s="16"/>
    </row>
    <row r="227" spans="4:4" x14ac:dyDescent="0.25">
      <c r="D227" s="16"/>
    </row>
    <row r="228" spans="4:4" x14ac:dyDescent="0.25">
      <c r="D228" s="16"/>
    </row>
    <row r="229" spans="4:4" x14ac:dyDescent="0.25">
      <c r="D229" s="16"/>
    </row>
    <row r="230" spans="4:4" x14ac:dyDescent="0.25">
      <c r="D230" s="16"/>
    </row>
    <row r="231" spans="4:4" x14ac:dyDescent="0.25">
      <c r="D231" s="16"/>
    </row>
    <row r="232" spans="4:4" x14ac:dyDescent="0.25">
      <c r="D232" s="16"/>
    </row>
    <row r="233" spans="4:4" x14ac:dyDescent="0.25">
      <c r="D233" s="16"/>
    </row>
    <row r="234" spans="4:4" x14ac:dyDescent="0.25">
      <c r="D234" s="16"/>
    </row>
    <row r="235" spans="4:4" x14ac:dyDescent="0.25">
      <c r="D235" s="16"/>
    </row>
    <row r="236" spans="4:4" x14ac:dyDescent="0.25">
      <c r="D236" s="16"/>
    </row>
    <row r="237" spans="4:4" x14ac:dyDescent="0.25">
      <c r="D237" s="16"/>
    </row>
    <row r="238" spans="4:4" x14ac:dyDescent="0.25">
      <c r="D238" s="16"/>
    </row>
    <row r="239" spans="4:4" x14ac:dyDescent="0.25">
      <c r="D239" s="16"/>
    </row>
    <row r="240" spans="4:4" x14ac:dyDescent="0.25">
      <c r="D240" s="16"/>
    </row>
    <row r="241" spans="4:4" x14ac:dyDescent="0.25">
      <c r="D241" s="16"/>
    </row>
    <row r="242" spans="4:4" x14ac:dyDescent="0.25">
      <c r="D242" s="16"/>
    </row>
    <row r="243" spans="4:4" x14ac:dyDescent="0.25">
      <c r="D243" s="16"/>
    </row>
    <row r="244" spans="4:4" x14ac:dyDescent="0.25">
      <c r="D244" s="16"/>
    </row>
    <row r="245" spans="4:4" x14ac:dyDescent="0.25">
      <c r="D245" s="16"/>
    </row>
    <row r="246" spans="4:4" x14ac:dyDescent="0.25">
      <c r="D246" s="16"/>
    </row>
    <row r="247" spans="4:4" x14ac:dyDescent="0.25">
      <c r="D247" s="16"/>
    </row>
    <row r="248" spans="4:4" x14ac:dyDescent="0.25">
      <c r="D248" s="16"/>
    </row>
    <row r="249" spans="4:4" x14ac:dyDescent="0.25">
      <c r="D249" s="16"/>
    </row>
    <row r="250" spans="4:4" x14ac:dyDescent="0.25">
      <c r="D250" s="16"/>
    </row>
    <row r="251" spans="4:4" x14ac:dyDescent="0.25">
      <c r="D251" s="16"/>
    </row>
    <row r="252" spans="4:4" x14ac:dyDescent="0.25">
      <c r="D252" s="16"/>
    </row>
    <row r="253" spans="4:4" x14ac:dyDescent="0.25">
      <c r="D253" s="16"/>
    </row>
    <row r="254" spans="4:4" x14ac:dyDescent="0.25">
      <c r="D254" s="16"/>
    </row>
    <row r="255" spans="4:4" x14ac:dyDescent="0.25">
      <c r="D255" s="16"/>
    </row>
    <row r="256" spans="4:4" x14ac:dyDescent="0.25">
      <c r="D256" s="16"/>
    </row>
    <row r="257" spans="4:4" x14ac:dyDescent="0.25">
      <c r="D257" s="16"/>
    </row>
    <row r="258" spans="4:4" x14ac:dyDescent="0.25">
      <c r="D258" s="16"/>
    </row>
    <row r="259" spans="4:4" x14ac:dyDescent="0.25">
      <c r="D259" s="16"/>
    </row>
    <row r="260" spans="4:4" x14ac:dyDescent="0.25">
      <c r="D260" s="16"/>
    </row>
    <row r="261" spans="4:4" x14ac:dyDescent="0.25">
      <c r="D261" s="16"/>
    </row>
    <row r="262" spans="4:4" x14ac:dyDescent="0.25">
      <c r="D262" s="16"/>
    </row>
    <row r="263" spans="4:4" x14ac:dyDescent="0.25">
      <c r="D263" s="16"/>
    </row>
    <row r="264" spans="4:4" x14ac:dyDescent="0.25">
      <c r="D264" s="16"/>
    </row>
    <row r="265" spans="4:4" x14ac:dyDescent="0.25">
      <c r="D265" s="16"/>
    </row>
    <row r="266" spans="4:4" x14ac:dyDescent="0.25">
      <c r="D266" s="16"/>
    </row>
    <row r="267" spans="4:4" x14ac:dyDescent="0.25">
      <c r="D267" s="16"/>
    </row>
    <row r="268" spans="4:4" x14ac:dyDescent="0.25">
      <c r="D268" s="16"/>
    </row>
    <row r="269" spans="4:4" x14ac:dyDescent="0.25">
      <c r="D269" s="16"/>
    </row>
    <row r="270" spans="4:4" x14ac:dyDescent="0.25">
      <c r="D270" s="16"/>
    </row>
    <row r="271" spans="4:4" x14ac:dyDescent="0.25">
      <c r="D271" s="16"/>
    </row>
    <row r="272" spans="4:4" x14ac:dyDescent="0.25">
      <c r="D272" s="16"/>
    </row>
    <row r="273" spans="4:4" x14ac:dyDescent="0.25">
      <c r="D273" s="16"/>
    </row>
    <row r="274" spans="4:4" x14ac:dyDescent="0.25">
      <c r="D274" s="16"/>
    </row>
    <row r="275" spans="4:4" x14ac:dyDescent="0.25">
      <c r="D275" s="16"/>
    </row>
    <row r="276" spans="4:4" x14ac:dyDescent="0.25">
      <c r="D276" s="16"/>
    </row>
    <row r="277" spans="4:4" x14ac:dyDescent="0.25">
      <c r="D277" s="16"/>
    </row>
    <row r="278" spans="4:4" x14ac:dyDescent="0.25">
      <c r="D278" s="16"/>
    </row>
    <row r="279" spans="4:4" x14ac:dyDescent="0.25">
      <c r="D279" s="16"/>
    </row>
    <row r="280" spans="4:4" x14ac:dyDescent="0.25">
      <c r="D280" s="16"/>
    </row>
    <row r="281" spans="4:4" x14ac:dyDescent="0.25">
      <c r="D281" s="16"/>
    </row>
    <row r="282" spans="4:4" x14ac:dyDescent="0.25">
      <c r="D282" s="16"/>
    </row>
    <row r="283" spans="4:4" x14ac:dyDescent="0.25">
      <c r="D283" s="16"/>
    </row>
    <row r="284" spans="4:4" x14ac:dyDescent="0.25">
      <c r="D284" s="16"/>
    </row>
    <row r="285" spans="4:4" x14ac:dyDescent="0.25">
      <c r="D285" s="16"/>
    </row>
    <row r="286" spans="4:4" x14ac:dyDescent="0.25">
      <c r="D286" s="16"/>
    </row>
    <row r="287" spans="4:4" x14ac:dyDescent="0.25">
      <c r="D287" s="16"/>
    </row>
    <row r="288" spans="4:4" x14ac:dyDescent="0.25">
      <c r="D288" s="16"/>
    </row>
    <row r="289" spans="4:4" x14ac:dyDescent="0.25">
      <c r="D289" s="16"/>
    </row>
    <row r="290" spans="4:4" x14ac:dyDescent="0.25">
      <c r="D290" s="16"/>
    </row>
    <row r="291" spans="4:4" x14ac:dyDescent="0.25">
      <c r="D291" s="16"/>
    </row>
    <row r="292" spans="4:4" x14ac:dyDescent="0.25">
      <c r="D292" s="16"/>
    </row>
    <row r="293" spans="4:4" x14ac:dyDescent="0.25">
      <c r="D293" s="16"/>
    </row>
    <row r="294" spans="4:4" x14ac:dyDescent="0.25">
      <c r="D294" s="16"/>
    </row>
    <row r="295" spans="4:4" x14ac:dyDescent="0.25">
      <c r="D295" s="16"/>
    </row>
    <row r="296" spans="4:4" x14ac:dyDescent="0.25">
      <c r="D296" s="16"/>
    </row>
    <row r="297" spans="4:4" x14ac:dyDescent="0.25">
      <c r="D297" s="16"/>
    </row>
    <row r="298" spans="4:4" x14ac:dyDescent="0.25">
      <c r="D298" s="16"/>
    </row>
    <row r="299" spans="4:4" x14ac:dyDescent="0.25">
      <c r="D299" s="16"/>
    </row>
    <row r="300" spans="4:4" x14ac:dyDescent="0.25">
      <c r="D300" s="16"/>
    </row>
    <row r="301" spans="4:4" x14ac:dyDescent="0.25">
      <c r="D301" s="16"/>
    </row>
    <row r="302" spans="4:4" x14ac:dyDescent="0.25">
      <c r="D302" s="16"/>
    </row>
    <row r="303" spans="4:4" x14ac:dyDescent="0.25">
      <c r="D303" s="16"/>
    </row>
    <row r="304" spans="4:4" x14ac:dyDescent="0.25">
      <c r="D304" s="16"/>
    </row>
    <row r="305" spans="4:4" x14ac:dyDescent="0.25">
      <c r="D305" s="16"/>
    </row>
    <row r="306" spans="4:4" x14ac:dyDescent="0.25">
      <c r="D306" s="16"/>
    </row>
    <row r="307" spans="4:4" x14ac:dyDescent="0.25">
      <c r="D307" s="16"/>
    </row>
    <row r="308" spans="4:4" x14ac:dyDescent="0.25">
      <c r="D308" s="16"/>
    </row>
    <row r="309" spans="4:4" x14ac:dyDescent="0.25">
      <c r="D309" s="16"/>
    </row>
    <row r="310" spans="4:4" x14ac:dyDescent="0.25">
      <c r="D310" s="16"/>
    </row>
    <row r="311" spans="4:4" x14ac:dyDescent="0.25">
      <c r="D311" s="16"/>
    </row>
    <row r="312" spans="4:4" x14ac:dyDescent="0.25">
      <c r="D312" s="16"/>
    </row>
    <row r="313" spans="4:4" x14ac:dyDescent="0.25">
      <c r="D313" s="16"/>
    </row>
    <row r="314" spans="4:4" x14ac:dyDescent="0.25">
      <c r="D314" s="16"/>
    </row>
    <row r="315" spans="4:4" x14ac:dyDescent="0.25">
      <c r="D315" s="16"/>
    </row>
    <row r="316" spans="4:4" x14ac:dyDescent="0.25">
      <c r="D316" s="16"/>
    </row>
    <row r="317" spans="4:4" x14ac:dyDescent="0.25">
      <c r="D317" s="16"/>
    </row>
    <row r="318" spans="4:4" x14ac:dyDescent="0.25">
      <c r="D318" s="16"/>
    </row>
    <row r="319" spans="4:4" x14ac:dyDescent="0.25">
      <c r="D319" s="16"/>
    </row>
    <row r="320" spans="4:4" x14ac:dyDescent="0.25">
      <c r="D320" s="16"/>
    </row>
    <row r="321" spans="4:4" x14ac:dyDescent="0.25">
      <c r="D321" s="16"/>
    </row>
    <row r="322" spans="4:4" x14ac:dyDescent="0.25">
      <c r="D322" s="16"/>
    </row>
    <row r="323" spans="4:4" x14ac:dyDescent="0.25">
      <c r="D323" s="16"/>
    </row>
    <row r="324" spans="4:4" x14ac:dyDescent="0.25">
      <c r="D324" s="16"/>
    </row>
    <row r="325" spans="4:4" x14ac:dyDescent="0.25">
      <c r="D325" s="16"/>
    </row>
    <row r="326" spans="4:4" x14ac:dyDescent="0.25">
      <c r="D326" s="16"/>
    </row>
    <row r="327" spans="4:4" x14ac:dyDescent="0.25">
      <c r="D327" s="16"/>
    </row>
    <row r="328" spans="4:4" x14ac:dyDescent="0.25">
      <c r="D328" s="16"/>
    </row>
    <row r="329" spans="4:4" x14ac:dyDescent="0.25">
      <c r="D329" s="16"/>
    </row>
    <row r="330" spans="4:4" x14ac:dyDescent="0.25">
      <c r="D330" s="16"/>
    </row>
    <row r="331" spans="4:4" x14ac:dyDescent="0.25">
      <c r="D331" s="16"/>
    </row>
    <row r="332" spans="4:4" x14ac:dyDescent="0.25">
      <c r="D332" s="16"/>
    </row>
    <row r="333" spans="4:4" x14ac:dyDescent="0.25">
      <c r="D333" s="16"/>
    </row>
    <row r="334" spans="4:4" x14ac:dyDescent="0.25">
      <c r="D334" s="16"/>
    </row>
    <row r="335" spans="4:4" x14ac:dyDescent="0.25">
      <c r="D335" s="16"/>
    </row>
    <row r="336" spans="4:4" x14ac:dyDescent="0.25">
      <c r="D336" s="16"/>
    </row>
    <row r="337" spans="4:4" x14ac:dyDescent="0.25">
      <c r="D337" s="16"/>
    </row>
    <row r="338" spans="4:4" x14ac:dyDescent="0.25">
      <c r="D338" s="16"/>
    </row>
    <row r="339" spans="4:4" x14ac:dyDescent="0.25">
      <c r="D339" s="16"/>
    </row>
    <row r="340" spans="4:4" x14ac:dyDescent="0.25">
      <c r="D340" s="16"/>
    </row>
    <row r="341" spans="4:4" x14ac:dyDescent="0.25">
      <c r="D341" s="16"/>
    </row>
    <row r="342" spans="4:4" x14ac:dyDescent="0.25">
      <c r="D342" s="16"/>
    </row>
    <row r="343" spans="4:4" x14ac:dyDescent="0.25">
      <c r="D343" s="16"/>
    </row>
    <row r="344" spans="4:4" x14ac:dyDescent="0.25">
      <c r="D344" s="16"/>
    </row>
    <row r="345" spans="4:4" x14ac:dyDescent="0.25">
      <c r="D345" s="16"/>
    </row>
    <row r="346" spans="4:4" x14ac:dyDescent="0.25">
      <c r="D346" s="16"/>
    </row>
    <row r="347" spans="4:4" x14ac:dyDescent="0.25">
      <c r="D347" s="16"/>
    </row>
    <row r="348" spans="4:4" x14ac:dyDescent="0.25">
      <c r="D348" s="16"/>
    </row>
    <row r="349" spans="4:4" x14ac:dyDescent="0.25">
      <c r="D349" s="16"/>
    </row>
    <row r="350" spans="4:4" x14ac:dyDescent="0.25">
      <c r="D350" s="16"/>
    </row>
    <row r="351" spans="4:4" x14ac:dyDescent="0.25">
      <c r="D351" s="16"/>
    </row>
    <row r="352" spans="4:4" x14ac:dyDescent="0.25">
      <c r="D352" s="16"/>
    </row>
    <row r="353" spans="4:4" x14ac:dyDescent="0.25">
      <c r="D353" s="16"/>
    </row>
    <row r="354" spans="4:4" x14ac:dyDescent="0.25">
      <c r="D354" s="16"/>
    </row>
    <row r="355" spans="4:4" x14ac:dyDescent="0.25">
      <c r="D355" s="16"/>
    </row>
    <row r="356" spans="4:4" x14ac:dyDescent="0.25">
      <c r="D356" s="16"/>
    </row>
    <row r="357" spans="4:4" x14ac:dyDescent="0.25">
      <c r="D357" s="16"/>
    </row>
    <row r="358" spans="4:4" x14ac:dyDescent="0.25">
      <c r="D358" s="16"/>
    </row>
    <row r="359" spans="4:4" x14ac:dyDescent="0.25">
      <c r="D359" s="16"/>
    </row>
    <row r="360" spans="4:4" x14ac:dyDescent="0.25">
      <c r="D360" s="16"/>
    </row>
    <row r="361" spans="4:4" x14ac:dyDescent="0.25">
      <c r="D361" s="16"/>
    </row>
    <row r="362" spans="4:4" x14ac:dyDescent="0.25">
      <c r="D362" s="16"/>
    </row>
    <row r="363" spans="4:4" x14ac:dyDescent="0.25">
      <c r="D363" s="16"/>
    </row>
    <row r="364" spans="4:4" x14ac:dyDescent="0.25">
      <c r="D364" s="16"/>
    </row>
    <row r="365" spans="4:4" x14ac:dyDescent="0.25">
      <c r="D365" s="16"/>
    </row>
    <row r="366" spans="4:4" x14ac:dyDescent="0.25">
      <c r="D366" s="16"/>
    </row>
    <row r="367" spans="4:4" x14ac:dyDescent="0.25">
      <c r="D367" s="16"/>
    </row>
    <row r="368" spans="4:4" x14ac:dyDescent="0.25">
      <c r="D368" s="16"/>
    </row>
    <row r="369" spans="4:4" x14ac:dyDescent="0.25">
      <c r="D369" s="16"/>
    </row>
    <row r="370" spans="4:4" x14ac:dyDescent="0.25">
      <c r="D370" s="16"/>
    </row>
    <row r="371" spans="4:4" x14ac:dyDescent="0.25">
      <c r="D371" s="16"/>
    </row>
    <row r="372" spans="4:4" x14ac:dyDescent="0.25">
      <c r="D372" s="16"/>
    </row>
    <row r="373" spans="4:4" x14ac:dyDescent="0.25">
      <c r="D373" s="16"/>
    </row>
    <row r="374" spans="4:4" x14ac:dyDescent="0.25">
      <c r="D374" s="16"/>
    </row>
    <row r="375" spans="4:4" x14ac:dyDescent="0.25">
      <c r="D375" s="16"/>
    </row>
    <row r="376" spans="4:4" x14ac:dyDescent="0.25">
      <c r="D376" s="16"/>
    </row>
    <row r="377" spans="4:4" x14ac:dyDescent="0.25">
      <c r="D377" s="16"/>
    </row>
    <row r="378" spans="4:4" x14ac:dyDescent="0.25">
      <c r="D378" s="16"/>
    </row>
    <row r="379" spans="4:4" x14ac:dyDescent="0.25">
      <c r="D379" s="16"/>
    </row>
    <row r="380" spans="4:4" x14ac:dyDescent="0.25">
      <c r="D380" s="16"/>
    </row>
    <row r="381" spans="4:4" x14ac:dyDescent="0.25">
      <c r="D381" s="16"/>
    </row>
    <row r="382" spans="4:4" x14ac:dyDescent="0.25">
      <c r="D382" s="16"/>
    </row>
    <row r="383" spans="4:4" x14ac:dyDescent="0.25">
      <c r="D383" s="16"/>
    </row>
    <row r="384" spans="4:4" x14ac:dyDescent="0.25">
      <c r="D384" s="16"/>
    </row>
    <row r="385" spans="4:4" x14ac:dyDescent="0.25">
      <c r="D385" s="16"/>
    </row>
    <row r="386" spans="4:4" x14ac:dyDescent="0.25">
      <c r="D386" s="16"/>
    </row>
    <row r="387" spans="4:4" x14ac:dyDescent="0.25">
      <c r="D387" s="16"/>
    </row>
    <row r="388" spans="4:4" x14ac:dyDescent="0.25">
      <c r="D388" s="16"/>
    </row>
    <row r="389" spans="4:4" x14ac:dyDescent="0.25">
      <c r="D389" s="16"/>
    </row>
    <row r="390" spans="4:4" x14ac:dyDescent="0.25">
      <c r="D390" s="16"/>
    </row>
    <row r="391" spans="4:4" x14ac:dyDescent="0.25">
      <c r="D391" s="16"/>
    </row>
    <row r="392" spans="4:4" x14ac:dyDescent="0.25">
      <c r="D392" s="16"/>
    </row>
    <row r="393" spans="4:4" x14ac:dyDescent="0.25">
      <c r="D393" s="16"/>
    </row>
    <row r="394" spans="4:4" x14ac:dyDescent="0.25">
      <c r="D394" s="16"/>
    </row>
    <row r="395" spans="4:4" x14ac:dyDescent="0.25">
      <c r="D395" s="16"/>
    </row>
    <row r="396" spans="4:4" x14ac:dyDescent="0.25">
      <c r="D396" s="16"/>
    </row>
    <row r="397" spans="4:4" x14ac:dyDescent="0.25">
      <c r="D397" s="16"/>
    </row>
    <row r="398" spans="4:4" x14ac:dyDescent="0.25">
      <c r="D398" s="16"/>
    </row>
    <row r="399" spans="4:4" x14ac:dyDescent="0.25">
      <c r="D399" s="16"/>
    </row>
    <row r="400" spans="4:4" x14ac:dyDescent="0.25">
      <c r="D400" s="16"/>
    </row>
    <row r="401" spans="4:4" x14ac:dyDescent="0.25">
      <c r="D401" s="16"/>
    </row>
    <row r="402" spans="4:4" x14ac:dyDescent="0.25">
      <c r="D402" s="16"/>
    </row>
    <row r="403" spans="4:4" x14ac:dyDescent="0.25">
      <c r="D403" s="16"/>
    </row>
    <row r="404" spans="4:4" x14ac:dyDescent="0.25">
      <c r="D404" s="16"/>
    </row>
    <row r="405" spans="4:4" x14ac:dyDescent="0.25">
      <c r="D405" s="16"/>
    </row>
    <row r="406" spans="4:4" x14ac:dyDescent="0.25">
      <c r="D406" s="16"/>
    </row>
    <row r="407" spans="4:4" x14ac:dyDescent="0.25">
      <c r="D407" s="16"/>
    </row>
    <row r="408" spans="4:4" x14ac:dyDescent="0.25">
      <c r="D408" s="16"/>
    </row>
    <row r="409" spans="4:4" x14ac:dyDescent="0.25">
      <c r="D409" s="16"/>
    </row>
    <row r="410" spans="4:4" x14ac:dyDescent="0.25">
      <c r="D410" s="16"/>
    </row>
    <row r="411" spans="4:4" x14ac:dyDescent="0.25">
      <c r="D411" s="16"/>
    </row>
    <row r="412" spans="4:4" x14ac:dyDescent="0.25">
      <c r="D412" s="16"/>
    </row>
    <row r="413" spans="4:4" x14ac:dyDescent="0.25">
      <c r="D413" s="16"/>
    </row>
    <row r="414" spans="4:4" x14ac:dyDescent="0.25">
      <c r="D414" s="16"/>
    </row>
    <row r="415" spans="4:4" x14ac:dyDescent="0.25">
      <c r="D415" s="16"/>
    </row>
    <row r="416" spans="4:4" x14ac:dyDescent="0.25">
      <c r="D416" s="16"/>
    </row>
    <row r="417" spans="4:4" x14ac:dyDescent="0.25">
      <c r="D417" s="16"/>
    </row>
    <row r="418" spans="4:4" x14ac:dyDescent="0.25">
      <c r="D418" s="16"/>
    </row>
    <row r="419" spans="4:4" x14ac:dyDescent="0.25">
      <c r="D419" s="16"/>
    </row>
    <row r="420" spans="4:4" x14ac:dyDescent="0.25">
      <c r="D420" s="16"/>
    </row>
    <row r="421" spans="4:4" x14ac:dyDescent="0.25">
      <c r="D421" s="16"/>
    </row>
    <row r="422" spans="4:4" x14ac:dyDescent="0.25">
      <c r="D422" s="16"/>
    </row>
    <row r="423" spans="4:4" x14ac:dyDescent="0.25">
      <c r="D423" s="16"/>
    </row>
    <row r="424" spans="4:4" x14ac:dyDescent="0.25">
      <c r="D424" s="16"/>
    </row>
    <row r="425" spans="4:4" x14ac:dyDescent="0.25">
      <c r="D425" s="16"/>
    </row>
    <row r="426" spans="4:4" x14ac:dyDescent="0.25">
      <c r="D426" s="16"/>
    </row>
    <row r="427" spans="4:4" x14ac:dyDescent="0.25">
      <c r="D427" s="16"/>
    </row>
    <row r="428" spans="4:4" x14ac:dyDescent="0.25">
      <c r="D428" s="16"/>
    </row>
    <row r="429" spans="4:4" x14ac:dyDescent="0.25">
      <c r="D429" s="16"/>
    </row>
    <row r="430" spans="4:4" x14ac:dyDescent="0.25">
      <c r="D430" s="16"/>
    </row>
    <row r="431" spans="4:4" x14ac:dyDescent="0.25">
      <c r="D431" s="16"/>
    </row>
    <row r="432" spans="4:4" x14ac:dyDescent="0.25">
      <c r="D432" s="16"/>
    </row>
    <row r="433" spans="4:4" x14ac:dyDescent="0.25">
      <c r="D433" s="16"/>
    </row>
    <row r="434" spans="4:4" x14ac:dyDescent="0.25">
      <c r="D434" s="16"/>
    </row>
    <row r="435" spans="4:4" x14ac:dyDescent="0.25">
      <c r="D435" s="16"/>
    </row>
    <row r="436" spans="4:4" x14ac:dyDescent="0.25">
      <c r="D436" s="16"/>
    </row>
    <row r="437" spans="4:4" x14ac:dyDescent="0.25">
      <c r="D437" s="16"/>
    </row>
    <row r="438" spans="4:4" x14ac:dyDescent="0.25">
      <c r="D438" s="16"/>
    </row>
    <row r="439" spans="4:4" x14ac:dyDescent="0.25">
      <c r="D439" s="16"/>
    </row>
    <row r="440" spans="4:4" x14ac:dyDescent="0.25">
      <c r="D440" s="16"/>
    </row>
    <row r="441" spans="4:4" x14ac:dyDescent="0.25">
      <c r="D441" s="16"/>
    </row>
    <row r="442" spans="4:4" x14ac:dyDescent="0.25">
      <c r="D442" s="16"/>
    </row>
    <row r="443" spans="4:4" x14ac:dyDescent="0.25">
      <c r="D443" s="16"/>
    </row>
    <row r="444" spans="4:4" x14ac:dyDescent="0.25">
      <c r="D444" s="16"/>
    </row>
    <row r="445" spans="4:4" x14ac:dyDescent="0.25">
      <c r="D445" s="16"/>
    </row>
    <row r="446" spans="4:4" x14ac:dyDescent="0.25">
      <c r="D446" s="16"/>
    </row>
    <row r="447" spans="4:4" x14ac:dyDescent="0.25">
      <c r="D447" s="16"/>
    </row>
    <row r="448" spans="4:4" x14ac:dyDescent="0.25">
      <c r="D448" s="16"/>
    </row>
    <row r="449" spans="4:4" x14ac:dyDescent="0.25">
      <c r="D449" s="16"/>
    </row>
    <row r="450" spans="4:4" x14ac:dyDescent="0.25">
      <c r="D450" s="16"/>
    </row>
    <row r="451" spans="4:4" x14ac:dyDescent="0.25">
      <c r="D451" s="16"/>
    </row>
    <row r="452" spans="4:4" x14ac:dyDescent="0.25">
      <c r="D452" s="16"/>
    </row>
    <row r="453" spans="4:4" x14ac:dyDescent="0.25">
      <c r="D453" s="16"/>
    </row>
    <row r="454" spans="4:4" x14ac:dyDescent="0.25">
      <c r="D454" s="16"/>
    </row>
    <row r="455" spans="4:4" x14ac:dyDescent="0.25">
      <c r="D455" s="16"/>
    </row>
    <row r="456" spans="4:4" x14ac:dyDescent="0.25">
      <c r="D456" s="16"/>
    </row>
    <row r="457" spans="4:4" x14ac:dyDescent="0.25">
      <c r="D457" s="16"/>
    </row>
    <row r="458" spans="4:4" x14ac:dyDescent="0.25">
      <c r="D458" s="16"/>
    </row>
    <row r="459" spans="4:4" x14ac:dyDescent="0.25">
      <c r="D459" s="16"/>
    </row>
    <row r="460" spans="4:4" x14ac:dyDescent="0.25">
      <c r="D460" s="16"/>
    </row>
    <row r="461" spans="4:4" x14ac:dyDescent="0.25">
      <c r="D461" s="16"/>
    </row>
    <row r="462" spans="4:4" x14ac:dyDescent="0.25">
      <c r="D462" s="16"/>
    </row>
    <row r="463" spans="4:4" x14ac:dyDescent="0.25">
      <c r="D463" s="16"/>
    </row>
    <row r="464" spans="4:4" x14ac:dyDescent="0.25">
      <c r="D464" s="16"/>
    </row>
    <row r="465" spans="4:4" x14ac:dyDescent="0.25">
      <c r="D465" s="16"/>
    </row>
    <row r="466" spans="4:4" x14ac:dyDescent="0.25">
      <c r="D466" s="16"/>
    </row>
    <row r="467" spans="4:4" x14ac:dyDescent="0.25">
      <c r="D467" s="16"/>
    </row>
    <row r="468" spans="4:4" x14ac:dyDescent="0.25">
      <c r="D468" s="16"/>
    </row>
    <row r="469" spans="4:4" x14ac:dyDescent="0.25">
      <c r="D469" s="16"/>
    </row>
    <row r="470" spans="4:4" x14ac:dyDescent="0.25">
      <c r="D470" s="16"/>
    </row>
    <row r="471" spans="4:4" x14ac:dyDescent="0.25">
      <c r="D471" s="16"/>
    </row>
    <row r="472" spans="4:4" x14ac:dyDescent="0.25">
      <c r="D472" s="16"/>
    </row>
    <row r="473" spans="4:4" x14ac:dyDescent="0.25">
      <c r="D473" s="16"/>
    </row>
    <row r="474" spans="4:4" x14ac:dyDescent="0.25">
      <c r="D474" s="16"/>
    </row>
    <row r="475" spans="4:4" x14ac:dyDescent="0.25">
      <c r="D475" s="16"/>
    </row>
    <row r="476" spans="4:4" x14ac:dyDescent="0.25">
      <c r="D476" s="16"/>
    </row>
    <row r="477" spans="4:4" x14ac:dyDescent="0.25">
      <c r="D477" s="16"/>
    </row>
    <row r="478" spans="4:4" x14ac:dyDescent="0.25">
      <c r="D478" s="16"/>
    </row>
    <row r="479" spans="4:4" x14ac:dyDescent="0.25">
      <c r="D479" s="16"/>
    </row>
    <row r="480" spans="4:4" x14ac:dyDescent="0.25">
      <c r="D480" s="16"/>
    </row>
    <row r="481" spans="4:4" x14ac:dyDescent="0.25">
      <c r="D481" s="16"/>
    </row>
    <row r="482" spans="4:4" x14ac:dyDescent="0.25">
      <c r="D482" s="16"/>
    </row>
    <row r="483" spans="4:4" x14ac:dyDescent="0.25">
      <c r="D483" s="16"/>
    </row>
    <row r="484" spans="4:4" x14ac:dyDescent="0.25">
      <c r="D484" s="16"/>
    </row>
    <row r="485" spans="4:4" x14ac:dyDescent="0.25">
      <c r="D485" s="16"/>
    </row>
    <row r="486" spans="4:4" x14ac:dyDescent="0.25">
      <c r="D486" s="16"/>
    </row>
    <row r="487" spans="4:4" x14ac:dyDescent="0.25">
      <c r="D487" s="16"/>
    </row>
    <row r="488" spans="4:4" x14ac:dyDescent="0.25">
      <c r="D488" s="16"/>
    </row>
    <row r="489" spans="4:4" x14ac:dyDescent="0.25">
      <c r="D489" s="16"/>
    </row>
    <row r="490" spans="4:4" x14ac:dyDescent="0.25">
      <c r="D490" s="16"/>
    </row>
    <row r="491" spans="4:4" x14ac:dyDescent="0.25">
      <c r="D491" s="16"/>
    </row>
    <row r="492" spans="4:4" x14ac:dyDescent="0.25">
      <c r="D492" s="16"/>
    </row>
    <row r="493" spans="4:4" x14ac:dyDescent="0.25">
      <c r="D493" s="16"/>
    </row>
    <row r="494" spans="4:4" x14ac:dyDescent="0.25">
      <c r="D494" s="16"/>
    </row>
    <row r="495" spans="4:4" x14ac:dyDescent="0.25">
      <c r="D495" s="16"/>
    </row>
    <row r="496" spans="4:4" x14ac:dyDescent="0.25">
      <c r="D496" s="16"/>
    </row>
    <row r="497" spans="4:4" x14ac:dyDescent="0.25">
      <c r="D497" s="16"/>
    </row>
    <row r="498" spans="4:4" x14ac:dyDescent="0.25">
      <c r="D498" s="16"/>
    </row>
    <row r="499" spans="4:4" x14ac:dyDescent="0.25">
      <c r="D499" s="16"/>
    </row>
    <row r="500" spans="4:4" x14ac:dyDescent="0.25">
      <c r="D500" s="16"/>
    </row>
    <row r="501" spans="4:4" x14ac:dyDescent="0.25">
      <c r="D501" s="16"/>
    </row>
    <row r="502" spans="4:4" x14ac:dyDescent="0.25">
      <c r="D502" s="16"/>
    </row>
    <row r="503" spans="4:4" x14ac:dyDescent="0.25">
      <c r="D503" s="16"/>
    </row>
    <row r="504" spans="4:4" x14ac:dyDescent="0.25">
      <c r="D504" s="16"/>
    </row>
    <row r="505" spans="4:4" x14ac:dyDescent="0.25">
      <c r="D505" s="16"/>
    </row>
    <row r="506" spans="4:4" x14ac:dyDescent="0.25">
      <c r="D506" s="16"/>
    </row>
    <row r="507" spans="4:4" x14ac:dyDescent="0.25">
      <c r="D507" s="16"/>
    </row>
    <row r="508" spans="4:4" x14ac:dyDescent="0.25">
      <c r="D508" s="16"/>
    </row>
    <row r="509" spans="4:4" x14ac:dyDescent="0.25">
      <c r="D509" s="16"/>
    </row>
    <row r="510" spans="4:4" x14ac:dyDescent="0.25">
      <c r="D510" s="16"/>
    </row>
    <row r="511" spans="4:4" x14ac:dyDescent="0.25">
      <c r="D511" s="16"/>
    </row>
    <row r="512" spans="4:4" x14ac:dyDescent="0.25">
      <c r="D512" s="16"/>
    </row>
    <row r="513" spans="4:4" x14ac:dyDescent="0.25">
      <c r="D513" s="16"/>
    </row>
    <row r="514" spans="4:4" x14ac:dyDescent="0.25">
      <c r="D514" s="16"/>
    </row>
    <row r="515" spans="4:4" x14ac:dyDescent="0.25">
      <c r="D515" s="16"/>
    </row>
    <row r="516" spans="4:4" x14ac:dyDescent="0.25">
      <c r="D516" s="16"/>
    </row>
    <row r="517" spans="4:4" x14ac:dyDescent="0.25">
      <c r="D517" s="16"/>
    </row>
    <row r="518" spans="4:4" x14ac:dyDescent="0.25">
      <c r="D518" s="16"/>
    </row>
    <row r="519" spans="4:4" x14ac:dyDescent="0.25">
      <c r="D519" s="16"/>
    </row>
    <row r="520" spans="4:4" x14ac:dyDescent="0.25">
      <c r="D520" s="16"/>
    </row>
    <row r="521" spans="4:4" x14ac:dyDescent="0.25">
      <c r="D521" s="16"/>
    </row>
    <row r="522" spans="4:4" x14ac:dyDescent="0.25">
      <c r="D522" s="16"/>
    </row>
    <row r="523" spans="4:4" x14ac:dyDescent="0.25">
      <c r="D523" s="16"/>
    </row>
    <row r="524" spans="4:4" x14ac:dyDescent="0.25">
      <c r="D524" s="16"/>
    </row>
    <row r="525" spans="4:4" x14ac:dyDescent="0.25">
      <c r="D525" s="16"/>
    </row>
    <row r="526" spans="4:4" x14ac:dyDescent="0.25">
      <c r="D526" s="16"/>
    </row>
    <row r="527" spans="4:4" x14ac:dyDescent="0.25">
      <c r="D527" s="16"/>
    </row>
    <row r="528" spans="4:4" x14ac:dyDescent="0.25">
      <c r="D528" s="16"/>
    </row>
    <row r="529" spans="4:4" x14ac:dyDescent="0.25">
      <c r="D529" s="16"/>
    </row>
    <row r="530" spans="4:4" x14ac:dyDescent="0.25">
      <c r="D530" s="16"/>
    </row>
    <row r="531" spans="4:4" x14ac:dyDescent="0.25">
      <c r="D531" s="16"/>
    </row>
    <row r="532" spans="4:4" x14ac:dyDescent="0.25">
      <c r="D532" s="16"/>
    </row>
    <row r="533" spans="4:4" x14ac:dyDescent="0.25">
      <c r="D533" s="16"/>
    </row>
    <row r="534" spans="4:4" x14ac:dyDescent="0.25">
      <c r="D534" s="16"/>
    </row>
    <row r="535" spans="4:4" x14ac:dyDescent="0.25">
      <c r="D535" s="16"/>
    </row>
    <row r="536" spans="4:4" x14ac:dyDescent="0.25">
      <c r="D536" s="16"/>
    </row>
    <row r="537" spans="4:4" x14ac:dyDescent="0.25">
      <c r="D537" s="16"/>
    </row>
    <row r="538" spans="4:4" x14ac:dyDescent="0.25">
      <c r="D538" s="16"/>
    </row>
    <row r="539" spans="4:4" x14ac:dyDescent="0.25">
      <c r="D539" s="16"/>
    </row>
    <row r="540" spans="4:4" x14ac:dyDescent="0.25">
      <c r="D540" s="16"/>
    </row>
    <row r="541" spans="4:4" x14ac:dyDescent="0.25">
      <c r="D541" s="16"/>
    </row>
    <row r="542" spans="4:4" x14ac:dyDescent="0.25">
      <c r="D542" s="16"/>
    </row>
    <row r="543" spans="4:4" x14ac:dyDescent="0.25">
      <c r="D543" s="16"/>
    </row>
    <row r="544" spans="4:4" x14ac:dyDescent="0.25">
      <c r="D544" s="16"/>
    </row>
    <row r="545" spans="4:4" x14ac:dyDescent="0.25">
      <c r="D545" s="16"/>
    </row>
    <row r="546" spans="4:4" x14ac:dyDescent="0.25">
      <c r="D546" s="16"/>
    </row>
    <row r="547" spans="4:4" x14ac:dyDescent="0.25">
      <c r="D547" s="16"/>
    </row>
    <row r="548" spans="4:4" x14ac:dyDescent="0.25">
      <c r="D548" s="16"/>
    </row>
    <row r="549" spans="4:4" x14ac:dyDescent="0.25">
      <c r="D549" s="16"/>
    </row>
    <row r="550" spans="4:4" x14ac:dyDescent="0.25">
      <c r="D550" s="16"/>
    </row>
    <row r="551" spans="4:4" x14ac:dyDescent="0.25">
      <c r="D551" s="16"/>
    </row>
    <row r="552" spans="4:4" x14ac:dyDescent="0.25">
      <c r="D552" s="16"/>
    </row>
    <row r="553" spans="4:4" x14ac:dyDescent="0.25">
      <c r="D553" s="16"/>
    </row>
    <row r="554" spans="4:4" x14ac:dyDescent="0.25">
      <c r="D554" s="16"/>
    </row>
    <row r="555" spans="4:4" x14ac:dyDescent="0.25">
      <c r="D555" s="16"/>
    </row>
    <row r="556" spans="4:4" x14ac:dyDescent="0.25">
      <c r="D556" s="16"/>
    </row>
    <row r="557" spans="4:4" x14ac:dyDescent="0.25">
      <c r="D557" s="16"/>
    </row>
    <row r="558" spans="4:4" x14ac:dyDescent="0.25">
      <c r="D558" s="16"/>
    </row>
    <row r="559" spans="4:4" x14ac:dyDescent="0.25">
      <c r="D559" s="16"/>
    </row>
    <row r="560" spans="4:4" x14ac:dyDescent="0.25">
      <c r="D560" s="16"/>
    </row>
    <row r="561" spans="4:4" x14ac:dyDescent="0.25">
      <c r="D561" s="16"/>
    </row>
    <row r="562" spans="4:4" x14ac:dyDescent="0.25">
      <c r="D562" s="16"/>
    </row>
    <row r="563" spans="4:4" x14ac:dyDescent="0.25">
      <c r="D563" s="16"/>
    </row>
    <row r="564" spans="4:4" x14ac:dyDescent="0.25">
      <c r="D564" s="16"/>
    </row>
    <row r="565" spans="4:4" x14ac:dyDescent="0.25">
      <c r="D565" s="16"/>
    </row>
    <row r="566" spans="4:4" x14ac:dyDescent="0.25">
      <c r="D566" s="16"/>
    </row>
    <row r="567" spans="4:4" x14ac:dyDescent="0.25">
      <c r="D567" s="16"/>
    </row>
    <row r="568" spans="4:4" x14ac:dyDescent="0.25">
      <c r="D568" s="16"/>
    </row>
    <row r="569" spans="4:4" x14ac:dyDescent="0.25">
      <c r="D569" s="16"/>
    </row>
    <row r="570" spans="4:4" x14ac:dyDescent="0.25">
      <c r="D570" s="16"/>
    </row>
    <row r="571" spans="4:4" x14ac:dyDescent="0.25">
      <c r="D571" s="16"/>
    </row>
    <row r="572" spans="4:4" x14ac:dyDescent="0.25">
      <c r="D572" s="16"/>
    </row>
    <row r="573" spans="4:4" x14ac:dyDescent="0.25">
      <c r="D573" s="16"/>
    </row>
    <row r="574" spans="4:4" x14ac:dyDescent="0.25">
      <c r="D574" s="16"/>
    </row>
    <row r="575" spans="4:4" x14ac:dyDescent="0.25">
      <c r="D575" s="16"/>
    </row>
    <row r="576" spans="4:4" x14ac:dyDescent="0.25">
      <c r="D576" s="16"/>
    </row>
    <row r="577" spans="4:4" x14ac:dyDescent="0.25">
      <c r="D577" s="16"/>
    </row>
    <row r="578" spans="4:4" x14ac:dyDescent="0.25">
      <c r="D578" s="16"/>
    </row>
    <row r="579" spans="4:4" x14ac:dyDescent="0.25">
      <c r="D579" s="16"/>
    </row>
    <row r="580" spans="4:4" x14ac:dyDescent="0.25">
      <c r="D580" s="16"/>
    </row>
    <row r="581" spans="4:4" x14ac:dyDescent="0.25">
      <c r="D581" s="16"/>
    </row>
    <row r="582" spans="4:4" x14ac:dyDescent="0.25">
      <c r="D582" s="16"/>
    </row>
    <row r="583" spans="4:4" x14ac:dyDescent="0.25">
      <c r="D583" s="16"/>
    </row>
    <row r="584" spans="4:4" x14ac:dyDescent="0.25">
      <c r="D584" s="16"/>
    </row>
    <row r="585" spans="4:4" x14ac:dyDescent="0.25">
      <c r="D585" s="16"/>
    </row>
    <row r="586" spans="4:4" x14ac:dyDescent="0.25">
      <c r="D586" s="16"/>
    </row>
    <row r="587" spans="4:4" x14ac:dyDescent="0.25">
      <c r="D587" s="16"/>
    </row>
    <row r="588" spans="4:4" x14ac:dyDescent="0.25">
      <c r="D588" s="16"/>
    </row>
    <row r="589" spans="4:4" x14ac:dyDescent="0.25">
      <c r="D589" s="16"/>
    </row>
    <row r="590" spans="4:4" x14ac:dyDescent="0.25">
      <c r="D590" s="16"/>
    </row>
    <row r="591" spans="4:4" x14ac:dyDescent="0.25">
      <c r="D591" s="16"/>
    </row>
    <row r="592" spans="4:4" x14ac:dyDescent="0.25">
      <c r="D592" s="16"/>
    </row>
    <row r="593" spans="4:4" x14ac:dyDescent="0.25">
      <c r="D593" s="16"/>
    </row>
    <row r="594" spans="4:4" x14ac:dyDescent="0.25">
      <c r="D594" s="16"/>
    </row>
    <row r="595" spans="4:4" x14ac:dyDescent="0.25">
      <c r="D595" s="16"/>
    </row>
    <row r="596" spans="4:4" x14ac:dyDescent="0.25">
      <c r="D596" s="16"/>
    </row>
    <row r="597" spans="4:4" x14ac:dyDescent="0.25">
      <c r="D597" s="16"/>
    </row>
    <row r="598" spans="4:4" x14ac:dyDescent="0.25">
      <c r="D598" s="16"/>
    </row>
    <row r="599" spans="4:4" x14ac:dyDescent="0.25">
      <c r="D599" s="16"/>
    </row>
    <row r="600" spans="4:4" x14ac:dyDescent="0.25">
      <c r="D600" s="16"/>
    </row>
    <row r="601" spans="4:4" x14ac:dyDescent="0.25">
      <c r="D601" s="16"/>
    </row>
    <row r="602" spans="4:4" x14ac:dyDescent="0.25">
      <c r="D602" s="1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sqref="A1:G5"/>
    </sheetView>
  </sheetViews>
  <sheetFormatPr defaultRowHeight="15" x14ac:dyDescent="0.25"/>
  <cols>
    <col min="1" max="1" width="17" customWidth="1"/>
    <col min="2" max="2" width="21.42578125" customWidth="1"/>
    <col min="6" max="6" width="10.42578125" bestFit="1" customWidth="1"/>
    <col min="7" max="7" width="16.85546875" bestFit="1" customWidth="1"/>
  </cols>
  <sheetData>
    <row r="1" spans="1:7" x14ac:dyDescent="0.25">
      <c r="A1" t="s">
        <v>2</v>
      </c>
      <c r="B1" t="s">
        <v>33</v>
      </c>
    </row>
    <row r="2" spans="1:7" x14ac:dyDescent="0.25">
      <c r="A2" s="21">
        <v>45997</v>
      </c>
      <c r="B2">
        <v>402</v>
      </c>
      <c r="F2" s="17" t="s">
        <v>2</v>
      </c>
      <c r="G2" s="21">
        <v>45996</v>
      </c>
    </row>
    <row r="3" spans="1:7" x14ac:dyDescent="0.25">
      <c r="A3" s="21">
        <v>45998</v>
      </c>
      <c r="B3">
        <v>447</v>
      </c>
      <c r="F3" s="17" t="s">
        <v>36</v>
      </c>
      <c r="G3">
        <v>758</v>
      </c>
    </row>
    <row r="4" spans="1:7" x14ac:dyDescent="0.25">
      <c r="A4" s="21"/>
      <c r="F4" s="17" t="s">
        <v>34</v>
      </c>
      <c r="G4">
        <f>SUM(Table3[Total Profit])</f>
        <v>849</v>
      </c>
    </row>
    <row r="5" spans="1:7" x14ac:dyDescent="0.25">
      <c r="A5" s="21"/>
      <c r="F5" s="17" t="s">
        <v>35</v>
      </c>
      <c r="G5">
        <f>G3-G4</f>
        <v>-91</v>
      </c>
    </row>
    <row r="6" spans="1:7" x14ac:dyDescent="0.25">
      <c r="A6" s="21"/>
    </row>
    <row r="7" spans="1:7" x14ac:dyDescent="0.25">
      <c r="A7" s="21"/>
    </row>
    <row r="8" spans="1:7" x14ac:dyDescent="0.25">
      <c r="A8" s="21"/>
    </row>
    <row r="10" spans="1:7" x14ac:dyDescent="0.25">
      <c r="A10" s="21"/>
    </row>
    <row r="11" spans="1:7" x14ac:dyDescent="0.25">
      <c r="F11" s="17"/>
    </row>
    <row r="12" spans="1:7" x14ac:dyDescent="0.25">
      <c r="F12" s="17"/>
    </row>
    <row r="13" spans="1:7" x14ac:dyDescent="0.25">
      <c r="F13" s="1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L11" sqref="L11"/>
    </sheetView>
  </sheetViews>
  <sheetFormatPr defaultRowHeight="15" x14ac:dyDescent="0.25"/>
  <cols>
    <col min="1" max="1" width="9.140625" customWidth="1"/>
    <col min="2" max="2" width="28" bestFit="1" customWidth="1"/>
    <col min="3" max="3" width="14" customWidth="1"/>
    <col min="4" max="4" width="19.140625" bestFit="1" customWidth="1"/>
    <col min="5" max="5" width="11.7109375" customWidth="1"/>
    <col min="6" max="6" width="15.140625" customWidth="1"/>
  </cols>
  <sheetData>
    <row r="1" spans="1:6" x14ac:dyDescent="0.25">
      <c r="A1" t="s">
        <v>0</v>
      </c>
      <c r="B1" t="s">
        <v>52</v>
      </c>
      <c r="C1" t="s">
        <v>55</v>
      </c>
      <c r="D1" t="s">
        <v>56</v>
      </c>
      <c r="E1" t="s">
        <v>53</v>
      </c>
      <c r="F1" t="s">
        <v>54</v>
      </c>
    </row>
    <row r="2" spans="1:6" x14ac:dyDescent="0.25">
      <c r="A2" t="s">
        <v>7</v>
      </c>
      <c r="B2" t="s">
        <v>57</v>
      </c>
      <c r="C2">
        <v>220</v>
      </c>
      <c r="D2">
        <v>31.42</v>
      </c>
      <c r="E2">
        <v>31.42</v>
      </c>
      <c r="F2">
        <f>Table5[[#This Row],[Charge_Per_Head]]-Table5[[#This Row],[Paid_Amt]]</f>
        <v>0</v>
      </c>
    </row>
    <row r="3" spans="1:6" x14ac:dyDescent="0.25">
      <c r="A3" t="s">
        <v>12</v>
      </c>
      <c r="B3" t="s">
        <v>57</v>
      </c>
      <c r="C3">
        <v>220</v>
      </c>
      <c r="D3">
        <v>31.42</v>
      </c>
      <c r="E3">
        <v>31.42</v>
      </c>
      <c r="F3">
        <f>Table5[[#This Row],[Charge_Per_Head]]-Table5[[#This Row],[Paid_Amt]]</f>
        <v>0</v>
      </c>
    </row>
    <row r="4" spans="1:6" x14ac:dyDescent="0.25">
      <c r="A4" t="s">
        <v>14</v>
      </c>
      <c r="B4" t="s">
        <v>57</v>
      </c>
      <c r="C4">
        <v>220</v>
      </c>
      <c r="D4">
        <v>31.42</v>
      </c>
      <c r="E4">
        <v>31.42</v>
      </c>
      <c r="F4">
        <f>Table5[[#This Row],[Charge_Per_Head]]-Table5[[#This Row],[Paid_Amt]]</f>
        <v>0</v>
      </c>
    </row>
    <row r="5" spans="1:6" x14ac:dyDescent="0.25">
      <c r="A5" t="s">
        <v>17</v>
      </c>
      <c r="B5" t="s">
        <v>57</v>
      </c>
      <c r="C5">
        <v>220</v>
      </c>
      <c r="D5">
        <v>31.42</v>
      </c>
      <c r="E5">
        <v>31.42</v>
      </c>
      <c r="F5">
        <f>Table5[[#This Row],[Charge_Per_Head]]-Table5[[#This Row],[Paid_Amt]]</f>
        <v>0</v>
      </c>
    </row>
    <row r="6" spans="1:6" x14ac:dyDescent="0.25">
      <c r="A6" t="s">
        <v>19</v>
      </c>
      <c r="B6" t="s">
        <v>57</v>
      </c>
      <c r="C6">
        <v>220</v>
      </c>
      <c r="D6">
        <v>31.42</v>
      </c>
      <c r="E6">
        <v>31.42</v>
      </c>
      <c r="F6">
        <f>Table5[[#This Row],[Charge_Per_Head]]-Table5[[#This Row],[Paid_Amt]]</f>
        <v>0</v>
      </c>
    </row>
    <row r="7" spans="1:6" x14ac:dyDescent="0.25">
      <c r="A7" t="s">
        <v>21</v>
      </c>
      <c r="B7" t="s">
        <v>57</v>
      </c>
      <c r="C7">
        <v>220</v>
      </c>
      <c r="D7">
        <v>31.42</v>
      </c>
      <c r="E7">
        <v>31.42</v>
      </c>
      <c r="F7">
        <f>Table5[[#This Row],[Charge_Per_Head]]-Table5[[#This Row],[Paid_Amt]]</f>
        <v>0</v>
      </c>
    </row>
    <row r="8" spans="1:6" x14ac:dyDescent="0.25">
      <c r="A8" t="s">
        <v>50</v>
      </c>
      <c r="B8" t="s">
        <v>57</v>
      </c>
      <c r="C8">
        <v>220</v>
      </c>
      <c r="D8">
        <v>31.42</v>
      </c>
      <c r="E8">
        <v>31.42</v>
      </c>
      <c r="F8">
        <f>Table5[[#This Row],[Charge_Per_Head]]-Table5[[#This Row],[Paid_Amt]]</f>
        <v>0</v>
      </c>
    </row>
    <row r="9" spans="1:6" x14ac:dyDescent="0.25">
      <c r="A9" t="s">
        <v>7</v>
      </c>
      <c r="B9" t="s">
        <v>61</v>
      </c>
      <c r="C9">
        <v>1764</v>
      </c>
      <c r="D9">
        <v>220.5</v>
      </c>
      <c r="E9">
        <v>220.5</v>
      </c>
      <c r="F9" s="29">
        <f>Table5[[#This Row],[Charge_Per_Head]]-Table5[[#This Row],[Paid_Amt]]</f>
        <v>0</v>
      </c>
    </row>
    <row r="10" spans="1:6" x14ac:dyDescent="0.25">
      <c r="A10" t="s">
        <v>12</v>
      </c>
      <c r="B10" t="s">
        <v>61</v>
      </c>
      <c r="C10">
        <v>1764</v>
      </c>
      <c r="D10">
        <v>220.5</v>
      </c>
      <c r="E10">
        <v>220.5</v>
      </c>
      <c r="F10" s="29">
        <f>Table5[[#This Row],[Charge_Per_Head]]-Table5[[#This Row],[Paid_Amt]]</f>
        <v>0</v>
      </c>
    </row>
    <row r="11" spans="1:6" x14ac:dyDescent="0.25">
      <c r="A11" t="s">
        <v>14</v>
      </c>
      <c r="B11" t="s">
        <v>61</v>
      </c>
      <c r="C11">
        <v>1764</v>
      </c>
      <c r="D11">
        <v>220.5</v>
      </c>
      <c r="E11">
        <v>220.5</v>
      </c>
      <c r="F11" s="29">
        <f>Table5[[#This Row],[Charge_Per_Head]]-Table5[[#This Row],[Paid_Amt]]</f>
        <v>0</v>
      </c>
    </row>
    <row r="12" spans="1:6" x14ac:dyDescent="0.25">
      <c r="A12" t="s">
        <v>17</v>
      </c>
      <c r="B12" t="s">
        <v>61</v>
      </c>
      <c r="C12">
        <v>1764</v>
      </c>
      <c r="D12">
        <v>220.5</v>
      </c>
      <c r="E12">
        <v>220.5</v>
      </c>
      <c r="F12" s="29">
        <f>Table5[[#This Row],[Charge_Per_Head]]-Table5[[#This Row],[Paid_Amt]]</f>
        <v>0</v>
      </c>
    </row>
    <row r="13" spans="1:6" x14ac:dyDescent="0.25">
      <c r="A13" t="s">
        <v>19</v>
      </c>
      <c r="B13" t="s">
        <v>61</v>
      </c>
      <c r="C13">
        <v>1764</v>
      </c>
      <c r="D13">
        <v>220.5</v>
      </c>
      <c r="E13">
        <v>220.5</v>
      </c>
      <c r="F13" s="29">
        <f>Table5[[#This Row],[Charge_Per_Head]]-Table5[[#This Row],[Paid_Amt]]</f>
        <v>0</v>
      </c>
    </row>
    <row r="14" spans="1:6" x14ac:dyDescent="0.25">
      <c r="A14" t="s">
        <v>21</v>
      </c>
      <c r="B14" t="s">
        <v>61</v>
      </c>
      <c r="C14">
        <v>1764</v>
      </c>
      <c r="D14">
        <v>220.5</v>
      </c>
      <c r="E14">
        <v>220.5</v>
      </c>
      <c r="F14" s="29">
        <f>Table5[[#This Row],[Charge_Per_Head]]-Table5[[#This Row],[Paid_Amt]]</f>
        <v>0</v>
      </c>
    </row>
    <row r="15" spans="1:6" x14ac:dyDescent="0.25">
      <c r="A15" t="s">
        <v>50</v>
      </c>
      <c r="B15" t="s">
        <v>61</v>
      </c>
      <c r="C15">
        <v>1764</v>
      </c>
      <c r="D15">
        <v>220.5</v>
      </c>
      <c r="E15">
        <v>220.5</v>
      </c>
      <c r="F15" s="29">
        <f>Table5[[#This Row],[Charge_Per_Head]]-Table5[[#This Row],[Paid_Amt]]</f>
        <v>0</v>
      </c>
    </row>
    <row r="16" spans="1:6" x14ac:dyDescent="0.25">
      <c r="A16" t="s">
        <v>59</v>
      </c>
      <c r="B16" t="s">
        <v>61</v>
      </c>
      <c r="C16">
        <v>1764</v>
      </c>
      <c r="D16">
        <v>220.5</v>
      </c>
      <c r="E16">
        <v>220.5</v>
      </c>
      <c r="F16" s="29">
        <f>Table5[[#This Row],[Charge_Per_Head]]-Table5[[#This Row],[Paid_Amt]]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P29"/>
  <sheetViews>
    <sheetView topLeftCell="A2" workbookViewId="0">
      <selection activeCell="P27" sqref="P27"/>
    </sheetView>
  </sheetViews>
  <sheetFormatPr defaultRowHeight="15" x14ac:dyDescent="0.25"/>
  <cols>
    <col min="8" max="8" width="17" bestFit="1" customWidth="1"/>
  </cols>
  <sheetData>
    <row r="4" spans="3:16" x14ac:dyDescent="0.25">
      <c r="C4" s="4" t="s">
        <v>0</v>
      </c>
      <c r="D4" s="26" t="s">
        <v>23</v>
      </c>
    </row>
    <row r="5" spans="3:16" x14ac:dyDescent="0.25">
      <c r="C5" s="20" t="s">
        <v>7</v>
      </c>
      <c r="D5" s="22">
        <v>2000</v>
      </c>
    </row>
    <row r="6" spans="3:16" x14ac:dyDescent="0.25">
      <c r="C6" s="19" t="s">
        <v>12</v>
      </c>
      <c r="D6" s="24">
        <v>1500</v>
      </c>
    </row>
    <row r="7" spans="3:16" x14ac:dyDescent="0.25">
      <c r="C7" s="20" t="s">
        <v>14</v>
      </c>
      <c r="D7" s="22">
        <v>500</v>
      </c>
    </row>
    <row r="8" spans="3:16" x14ac:dyDescent="0.25">
      <c r="C8" s="19" t="s">
        <v>17</v>
      </c>
      <c r="D8" s="24">
        <v>1500</v>
      </c>
      <c r="O8" s="17" t="s">
        <v>45</v>
      </c>
      <c r="P8" s="17">
        <v>26.72</v>
      </c>
    </row>
    <row r="9" spans="3:16" x14ac:dyDescent="0.25">
      <c r="C9" s="20" t="s">
        <v>19</v>
      </c>
      <c r="D9" s="22">
        <v>500</v>
      </c>
      <c r="O9" s="17" t="s">
        <v>46</v>
      </c>
      <c r="P9" s="17">
        <v>26.72</v>
      </c>
    </row>
    <row r="10" spans="3:16" x14ac:dyDescent="0.25">
      <c r="C10" s="19" t="s">
        <v>21</v>
      </c>
      <c r="D10" s="24">
        <v>2000</v>
      </c>
      <c r="O10" s="17" t="s">
        <v>47</v>
      </c>
      <c r="P10" s="17">
        <v>23.55</v>
      </c>
    </row>
    <row r="11" spans="3:16" x14ac:dyDescent="0.25">
      <c r="C11" s="20" t="s">
        <v>50</v>
      </c>
      <c r="D11" s="22">
        <v>2000</v>
      </c>
      <c r="O11" s="17" t="s">
        <v>48</v>
      </c>
      <c r="P11" s="17">
        <v>7.85</v>
      </c>
    </row>
    <row r="12" spans="3:16" x14ac:dyDescent="0.25">
      <c r="O12" t="s">
        <v>49</v>
      </c>
      <c r="P12">
        <v>31.4</v>
      </c>
    </row>
    <row r="14" spans="3:16" x14ac:dyDescent="0.25">
      <c r="G14" s="4" t="s">
        <v>0</v>
      </c>
      <c r="H14" s="26" t="s">
        <v>23</v>
      </c>
      <c r="I14" s="18" t="s">
        <v>6</v>
      </c>
    </row>
    <row r="15" spans="3:16" x14ac:dyDescent="0.25">
      <c r="G15" s="20" t="s">
        <v>7</v>
      </c>
      <c r="H15" s="22">
        <v>2000</v>
      </c>
      <c r="I15" s="23">
        <v>0.25</v>
      </c>
    </row>
    <row r="16" spans="3:16" x14ac:dyDescent="0.25">
      <c r="G16" s="19" t="s">
        <v>12</v>
      </c>
      <c r="H16" s="24">
        <v>1500</v>
      </c>
      <c r="I16" s="25">
        <v>0.1875</v>
      </c>
    </row>
    <row r="17" spans="7:16" x14ac:dyDescent="0.25">
      <c r="G17" s="20" t="s">
        <v>14</v>
      </c>
      <c r="H17" s="22">
        <v>500</v>
      </c>
      <c r="I17" s="23">
        <v>6.25E-2</v>
      </c>
    </row>
    <row r="18" spans="7:16" x14ac:dyDescent="0.25">
      <c r="G18" s="19" t="s">
        <v>17</v>
      </c>
      <c r="H18" s="24">
        <v>1500</v>
      </c>
      <c r="I18" s="25">
        <v>0.1875</v>
      </c>
    </row>
    <row r="19" spans="7:16" x14ac:dyDescent="0.25">
      <c r="G19" s="20" t="s">
        <v>19</v>
      </c>
      <c r="H19" s="22">
        <v>500</v>
      </c>
      <c r="I19" s="23">
        <v>6.25E-2</v>
      </c>
    </row>
    <row r="20" spans="7:16" x14ac:dyDescent="0.25">
      <c r="G20" s="19" t="s">
        <v>21</v>
      </c>
      <c r="H20" s="24">
        <v>2000</v>
      </c>
      <c r="I20" s="25">
        <v>0.25</v>
      </c>
      <c r="N20">
        <v>241</v>
      </c>
      <c r="O20">
        <v>32</v>
      </c>
      <c r="P20">
        <f>N20-O20</f>
        <v>209</v>
      </c>
    </row>
    <row r="24" spans="7:16" x14ac:dyDescent="0.25">
      <c r="L24">
        <v>60.25</v>
      </c>
    </row>
    <row r="25" spans="7:16" x14ac:dyDescent="0.25">
      <c r="L25">
        <v>180.75</v>
      </c>
    </row>
    <row r="26" spans="7:16" x14ac:dyDescent="0.25">
      <c r="L26">
        <v>60.25</v>
      </c>
      <c r="N26">
        <v>6505</v>
      </c>
      <c r="O26">
        <v>5773</v>
      </c>
      <c r="P26">
        <f>N26-O26</f>
        <v>732</v>
      </c>
    </row>
    <row r="27" spans="7:16" x14ac:dyDescent="0.25">
      <c r="L27">
        <v>180.75</v>
      </c>
    </row>
    <row r="28" spans="7:16" x14ac:dyDescent="0.25">
      <c r="L28">
        <v>241</v>
      </c>
    </row>
    <row r="29" spans="7:16" x14ac:dyDescent="0.25">
      <c r="L29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Daily_Profits_Calculations</vt:lpstr>
      <vt:lpstr>Investor_Details</vt:lpstr>
      <vt:lpstr>Daily_Report</vt:lpstr>
      <vt:lpstr>Loss_Recovery</vt:lpstr>
      <vt:lpstr>Platofrm_Maintaince_Charges</vt:lpstr>
      <vt:lpstr>Rough 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2025-11-18T09:48:33Z</dcterms:created>
  <dcterms:modified xsi:type="dcterms:W3CDTF">2025-12-14T18:27:02Z</dcterms:modified>
</cp:coreProperties>
</file>