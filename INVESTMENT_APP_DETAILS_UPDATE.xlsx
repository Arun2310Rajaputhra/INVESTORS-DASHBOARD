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K330" i="1" l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<sst xmlns="http://schemas.openxmlformats.org/spreadsheetml/2006/main" count="1702" uniqueCount="115">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</sst>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</cellXfs>
  <cellStyles count="1">
    <cellStyle name="Normal" xfId="0" builtinId="0"/>
  </cellStyles>
  <dxfs count="48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3"/>
    <tableColumn id="13" name="UserID" dataDxfId="43" totalsRowDxfId="12"/>
    <tableColumn id="8" name="Name" dataDxfId="42" totalsRowDxfId="11"/>
    <tableColumn id="15" name="User_Invested_Amount" dataDxfId="41" totalsRowDxfId="10"/>
    <tableColumn id="17" name="Transaction_ID" dataDxfId="40" totalsRowDxfId="9"/>
    <tableColumn id="16" name="Transaction_Date" dataDxfId="39" totalsRowDxfId="8"/>
    <tableColumn id="3" name="User_Invest_Amount_As_On_Date" dataDxfId="38" totalsRowDxfId="7"/>
    <tableColumn id="6" name="Company_Total_Investment_As_On_Date" dataDxfId="37" totalsRowDxfId="6"/>
    <tableColumn id="10" name="Total_Profit" dataDxfId="36" totalsRowDxfId="5"/>
    <tableColumn id="11" name="Profit_%" dataDxfId="35" totalsRowDxfId="4"/>
    <tableColumn id="7" name="Profit_Without_Tax" dataDxfId="34" totalsRowDxfId="3"/>
    <tableColumn id="4" name="Payment_Status" dataDxfId="33" totalsRowDxfId="2"/>
    <tableColumn id="1" name="Tax_Deduction_%" dataDxfId="17" totalsRowDxfId="1"/>
    <tableColumn id="2" name="Profit_With_Tax" dataDxfId="16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6" totalsRowShown="0">
  <autoFilter ref="A1:G26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5">
      <calculatedColumnFormula>SUMIFS(Daily_Report!E:E,Daily_Report!H:H,Re_Investment_Details!C:C)</calculatedColumnFormula>
    </tableColumn>
    <tableColumn id="5" name="Pending_Amount_To_Be_Add" dataDxfId="14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abSelected="1" topLeftCell="A308" workbookViewId="0">
      <selection activeCell="F328" sqref="F32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78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78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78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78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78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78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78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E17" sqref="E1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305" workbookViewId="0">
      <selection activeCell="H321" sqref="H32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</row>
    <row r="288" spans="1:8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</row>
    <row r="289" spans="1:8" x14ac:dyDescent="0.25">
      <c r="D289" s="16"/>
      <c r="G289" s="15"/>
    </row>
    <row r="290" spans="1:8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</row>
    <row r="291" spans="1:8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</row>
    <row r="292" spans="1:8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</row>
    <row r="293" spans="1:8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</row>
    <row r="294" spans="1:8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</row>
    <row r="295" spans="1:8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</row>
    <row r="296" spans="1:8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</row>
    <row r="297" spans="1:8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</row>
    <row r="298" spans="1:8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</row>
    <row r="299" spans="1:8" x14ac:dyDescent="0.25">
      <c r="D299" s="16"/>
      <c r="G299" s="15"/>
    </row>
    <row r="300" spans="1:8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14" t="s">
        <v>78</v>
      </c>
      <c r="G300" s="15">
        <v>512</v>
      </c>
    </row>
    <row r="301" spans="1:8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14" t="s">
        <v>91</v>
      </c>
      <c r="G301" s="15">
        <v>512</v>
      </c>
      <c r="H301" s="14" t="s">
        <v>109</v>
      </c>
    </row>
    <row r="302" spans="1:8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33" t="s">
        <v>78</v>
      </c>
      <c r="G302" s="15">
        <v>512</v>
      </c>
      <c r="H302" s="33"/>
    </row>
    <row r="303" spans="1:8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33" t="s">
        <v>78</v>
      </c>
      <c r="G303" s="15">
        <v>512</v>
      </c>
    </row>
    <row r="304" spans="1:8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33" t="s">
        <v>78</v>
      </c>
      <c r="G304" s="15">
        <v>512</v>
      </c>
    </row>
    <row r="305" spans="1:8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33" t="s">
        <v>78</v>
      </c>
      <c r="G305" s="15">
        <v>512</v>
      </c>
    </row>
    <row r="306" spans="1:8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33" t="s">
        <v>78</v>
      </c>
      <c r="G306" s="15">
        <v>512</v>
      </c>
    </row>
    <row r="307" spans="1:8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33" t="s">
        <v>78</v>
      </c>
      <c r="G307" s="15">
        <v>512</v>
      </c>
    </row>
    <row r="308" spans="1:8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</row>
    <row r="309" spans="1:8" x14ac:dyDescent="0.25">
      <c r="D309" s="16"/>
      <c r="G309" s="15"/>
    </row>
    <row r="310" spans="1:8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</row>
    <row r="311" spans="1:8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</row>
    <row r="312" spans="1:8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</row>
    <row r="313" spans="1:8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</row>
    <row r="314" spans="1:8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</row>
    <row r="315" spans="1:8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</row>
    <row r="316" spans="1:8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</row>
    <row r="317" spans="1:8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</row>
    <row r="318" spans="1:8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</row>
    <row r="319" spans="1:8" x14ac:dyDescent="0.25">
      <c r="D319" s="16"/>
      <c r="G319" s="15"/>
    </row>
    <row r="320" spans="1:8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</row>
    <row r="321" spans="1:8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</row>
    <row r="322" spans="1:8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</row>
    <row r="323" spans="1:8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</row>
    <row r="324" spans="1:8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</row>
    <row r="325" spans="1:8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</row>
    <row r="326" spans="1:8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</row>
    <row r="327" spans="1:8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</row>
    <row r="328" spans="1:8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</row>
    <row r="329" spans="1:8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</row>
    <row r="330" spans="1:8" x14ac:dyDescent="0.25">
      <c r="D330" s="16"/>
      <c r="G330" s="15"/>
    </row>
    <row r="331" spans="1:8" x14ac:dyDescent="0.25">
      <c r="D331" s="16"/>
      <c r="G331" s="15"/>
    </row>
    <row r="332" spans="1:8" x14ac:dyDescent="0.25">
      <c r="D332" s="16"/>
      <c r="G332" s="15"/>
    </row>
    <row r="333" spans="1:8" x14ac:dyDescent="0.25">
      <c r="D333" s="16"/>
      <c r="G333" s="15"/>
    </row>
    <row r="334" spans="1:8" x14ac:dyDescent="0.25">
      <c r="D334" s="16"/>
      <c r="G334" s="15"/>
    </row>
    <row r="335" spans="1:8" x14ac:dyDescent="0.25">
      <c r="D335" s="16"/>
      <c r="G335" s="15"/>
    </row>
    <row r="336" spans="1:8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>
      <selection activeCell="E18" sqref="E1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160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160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160</v>
      </c>
      <c r="D20">
        <v>17.77</v>
      </c>
      <c r="E20">
        <v>0</v>
      </c>
      <c r="F20" s="29">
        <f>Table5[[#This Row],[Charge_Per_Head]]-Table5[[#This Row],[Paid_Amt]]</f>
        <v>17.77</v>
      </c>
      <c r="G20" t="s">
        <v>106</v>
      </c>
    </row>
    <row r="21" spans="1:7" x14ac:dyDescent="0.25">
      <c r="A21" t="s">
        <v>17</v>
      </c>
      <c r="B21" t="s">
        <v>105</v>
      </c>
      <c r="C21">
        <v>160</v>
      </c>
      <c r="D21">
        <v>17.77</v>
      </c>
      <c r="E21">
        <v>0</v>
      </c>
      <c r="F21" s="29">
        <f>Table5[[#This Row],[Charge_Per_Head]]-Table5[[#This Row],[Paid_Amt]]</f>
        <v>17.77</v>
      </c>
      <c r="G21" t="s">
        <v>106</v>
      </c>
    </row>
    <row r="22" spans="1:7" x14ac:dyDescent="0.25">
      <c r="A22" t="s">
        <v>19</v>
      </c>
      <c r="B22" t="s">
        <v>105</v>
      </c>
      <c r="C22">
        <v>160</v>
      </c>
      <c r="D22">
        <v>17.77</v>
      </c>
      <c r="E22">
        <v>0</v>
      </c>
      <c r="F22" s="29">
        <f>Table5[[#This Row],[Charge_Per_Head]]-Table5[[#This Row],[Paid_Amt]]</f>
        <v>17.77</v>
      </c>
      <c r="G22" t="s">
        <v>106</v>
      </c>
    </row>
    <row r="23" spans="1:7" x14ac:dyDescent="0.25">
      <c r="A23" t="s">
        <v>21</v>
      </c>
      <c r="B23" t="s">
        <v>105</v>
      </c>
      <c r="C23">
        <v>160</v>
      </c>
      <c r="D23">
        <v>17.77</v>
      </c>
      <c r="E23">
        <v>0</v>
      </c>
      <c r="F23" s="29">
        <f>Table5[[#This Row],[Charge_Per_Head]]-Table5[[#This Row],[Paid_Amt]]</f>
        <v>17.77</v>
      </c>
      <c r="G23" t="s">
        <v>106</v>
      </c>
    </row>
    <row r="24" spans="1:7" x14ac:dyDescent="0.25">
      <c r="A24" t="s">
        <v>50</v>
      </c>
      <c r="B24" t="s">
        <v>105</v>
      </c>
      <c r="C24">
        <v>160</v>
      </c>
      <c r="D24">
        <v>17.77</v>
      </c>
      <c r="E24">
        <v>0</v>
      </c>
      <c r="F24" s="29">
        <f>Table5[[#This Row],[Charge_Per_Head]]-Table5[[#This Row],[Paid_Amt]]</f>
        <v>17.77</v>
      </c>
      <c r="G24" t="s">
        <v>106</v>
      </c>
    </row>
    <row r="25" spans="1:7" x14ac:dyDescent="0.25">
      <c r="A25" t="s">
        <v>59</v>
      </c>
      <c r="B25" t="s">
        <v>105</v>
      </c>
      <c r="C25">
        <v>160</v>
      </c>
      <c r="D25">
        <v>17.77</v>
      </c>
      <c r="E25">
        <v>0</v>
      </c>
      <c r="F25" s="29">
        <f>Table5[[#This Row],[Charge_Per_Head]]-Table5[[#This Row],[Paid_Amt]]</f>
        <v>17.77</v>
      </c>
      <c r="G25" t="s">
        <v>106</v>
      </c>
    </row>
    <row r="26" spans="1:7" x14ac:dyDescent="0.25">
      <c r="A26" t="s">
        <v>80</v>
      </c>
      <c r="B26" t="s">
        <v>105</v>
      </c>
      <c r="C26">
        <v>160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D4" sqref="D4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2026-01-05T06:50:36Z</dcterms:modified>
</cp:coreProperties>
</file>