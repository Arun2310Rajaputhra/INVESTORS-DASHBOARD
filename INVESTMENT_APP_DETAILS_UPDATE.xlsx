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N20" i="1" l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<sst xmlns="http://schemas.openxmlformats.org/spreadsheetml/2006/main" count="1474" uniqueCount="103">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</sst>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8"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7" dataDxfId="46" totalsRowDxfId="45">
  <autoFilter ref="A1:N5640"/>
  <tableColumns count="14">
    <tableColumn id="9" name="Date" dataDxfId="44" totalsRowDxfId="14"/>
    <tableColumn id="13" name="UserID" dataDxfId="43" totalsRowDxfId="13"/>
    <tableColumn id="8" name="Name" dataDxfId="42" totalsRowDxfId="12"/>
    <tableColumn id="15" name="User_Invested_Amount" dataDxfId="41" totalsRowDxfId="11"/>
    <tableColumn id="17" name="Transaction_ID" dataDxfId="40" totalsRowDxfId="10"/>
    <tableColumn id="16" name="Transaction_Date" dataDxfId="39" totalsRowDxfId="9"/>
    <tableColumn id="3" name="User_Invest_Amount_As_On_Date" dataDxfId="38" totalsRowDxfId="8"/>
    <tableColumn id="6" name="Company_Total_Investment_As_On_Date" dataDxfId="37" totalsRowDxfId="7"/>
    <tableColumn id="10" name="Total_Profit" dataDxfId="36" totalsRowDxfId="6"/>
    <tableColumn id="11" name="Profit_%" dataDxfId="35" totalsRowDxfId="5"/>
    <tableColumn id="7" name="Profit_Without_Tax" dataDxfId="34" totalsRowDxfId="4"/>
    <tableColumn id="4" name="Payment_Status" dataDxfId="33" totalsRowDxfId="3"/>
    <tableColumn id="1" name="Tax_Deduction_%" dataDxfId="16" totalsRowDxfId="2"/>
    <tableColumn id="2" name="Profit_With_Tax" dataDxfId="15" totalsRowDxfId="1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32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31" dataDxfId="29" headerRowBorderDxfId="30" tableBorderDxfId="28" totalsRowBorderDxfId="27">
  <autoFilter ref="A1:H602"/>
  <tableColumns count="8">
    <tableColumn id="1" name="Date" dataDxfId="26"/>
    <tableColumn id="2" name="UserID" dataDxfId="25"/>
    <tableColumn id="3" name="Invest_Amount" dataDxfId="24"/>
    <tableColumn id="6" name="Company_Total_Invest" dataDxfId="23"/>
    <tableColumn id="4" name="Profit" dataDxfId="22"/>
    <tableColumn id="5" name="Payment" dataDxfId="21"/>
    <tableColumn id="7" name="Total_Profit" dataDxfId="20"/>
    <tableColumn id="8" name="Re-Invest_ID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8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0">
      <calculatedColumnFormula>SUMIFS(Daily_Report!E:E,Daily_Report!H:H,Re_Investment_Details!C:C)</calculatedColumnFormula>
    </tableColumn>
    <tableColumn id="5" name="Pending_Amount_To_Be_Add" dataDxfId="17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G1" workbookViewId="0">
      <selection activeCell="M292" sqref="M292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100</v>
      </c>
      <c r="L1" s="1" t="s">
        <v>16</v>
      </c>
      <c r="M1" s="1" t="s">
        <v>101</v>
      </c>
      <c r="N1" s="2" t="s">
        <v>102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93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87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81</v>
      </c>
      <c r="C290" s="14" t="s">
        <v>84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93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79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88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14" t="s">
        <v>79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14" t="s">
        <v>79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89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14" t="s">
        <v>79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14" t="s">
        <v>79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14" t="s">
        <v>79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14" t="s">
        <v>79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14" t="s">
        <v>79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81</v>
      </c>
      <c r="C300" s="14" t="s">
        <v>84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14" t="s">
        <v>79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I302" s="15"/>
      <c r="M302" s="33"/>
    </row>
    <row r="303" spans="1:14" x14ac:dyDescent="0.25">
      <c r="I303" s="15"/>
      <c r="M303" s="33"/>
    </row>
    <row r="304" spans="1:14" x14ac:dyDescent="0.25">
      <c r="I304" s="15"/>
      <c r="M304" s="33"/>
    </row>
    <row r="305" spans="9:13" x14ac:dyDescent="0.25">
      <c r="I305" s="15"/>
      <c r="M305" s="33"/>
    </row>
    <row r="306" spans="9:13" x14ac:dyDescent="0.25">
      <c r="I306" s="15"/>
      <c r="M306" s="33"/>
    </row>
    <row r="307" spans="9:13" x14ac:dyDescent="0.25">
      <c r="I307" s="15"/>
      <c r="M307" s="33"/>
    </row>
    <row r="308" spans="9:13" x14ac:dyDescent="0.25">
      <c r="I308" s="15"/>
      <c r="M308" s="33"/>
    </row>
    <row r="309" spans="9:13" x14ac:dyDescent="0.25">
      <c r="I309" s="15"/>
      <c r="M309" s="33"/>
    </row>
    <row r="310" spans="9:13" x14ac:dyDescent="0.25">
      <c r="I310" s="15"/>
      <c r="M310" s="33"/>
    </row>
    <row r="311" spans="9:13" x14ac:dyDescent="0.25">
      <c r="I311" s="15"/>
      <c r="M311" s="33"/>
    </row>
    <row r="312" spans="9:13" x14ac:dyDescent="0.25">
      <c r="I312" s="15"/>
      <c r="M312" s="33"/>
    </row>
    <row r="313" spans="9:13" x14ac:dyDescent="0.25">
      <c r="I313" s="15"/>
      <c r="M313" s="33"/>
    </row>
    <row r="314" spans="9:13" x14ac:dyDescent="0.25">
      <c r="I314" s="15"/>
      <c r="M314" s="33"/>
    </row>
    <row r="315" spans="9:13" x14ac:dyDescent="0.25">
      <c r="I315" s="15"/>
      <c r="M315" s="33"/>
    </row>
    <row r="316" spans="9:13" x14ac:dyDescent="0.25">
      <c r="I316" s="15"/>
      <c r="M316" s="33"/>
    </row>
    <row r="317" spans="9:13" x14ac:dyDescent="0.25">
      <c r="I317" s="15"/>
      <c r="M317" s="33"/>
    </row>
    <row r="318" spans="9:13" x14ac:dyDescent="0.25">
      <c r="I318" s="15"/>
      <c r="M318" s="33"/>
    </row>
    <row r="319" spans="9:13" x14ac:dyDescent="0.25">
      <c r="I319" s="15"/>
      <c r="M319" s="33"/>
    </row>
    <row r="320" spans="9:13" x14ac:dyDescent="0.25">
      <c r="I320" s="15"/>
      <c r="M320" s="33"/>
    </row>
    <row r="321" spans="9:13" x14ac:dyDescent="0.25">
      <c r="I321" s="15"/>
      <c r="M321" s="33"/>
    </row>
    <row r="322" spans="9:13" x14ac:dyDescent="0.25">
      <c r="I322" s="15"/>
      <c r="M322" s="33"/>
    </row>
    <row r="323" spans="9:13" x14ac:dyDescent="0.25">
      <c r="I323" s="15"/>
      <c r="M323" s="33"/>
    </row>
    <row r="324" spans="9:13" x14ac:dyDescent="0.25">
      <c r="I324" s="15"/>
      <c r="M324" s="33"/>
    </row>
    <row r="325" spans="9:13" x14ac:dyDescent="0.25">
      <c r="I325" s="15"/>
      <c r="M325" s="33"/>
    </row>
    <row r="326" spans="9:13" x14ac:dyDescent="0.25">
      <c r="I326" s="15"/>
      <c r="M326" s="33"/>
    </row>
    <row r="327" spans="9:13" x14ac:dyDescent="0.25">
      <c r="I327" s="15"/>
      <c r="M327" s="33"/>
    </row>
    <row r="328" spans="9:13" x14ac:dyDescent="0.25">
      <c r="I328" s="15"/>
      <c r="M328" s="33"/>
    </row>
    <row r="329" spans="9:13" x14ac:dyDescent="0.25">
      <c r="I329" s="15"/>
      <c r="M329" s="33"/>
    </row>
    <row r="330" spans="9:13" x14ac:dyDescent="0.25">
      <c r="I330" s="15"/>
      <c r="M330" s="33"/>
    </row>
    <row r="331" spans="9:13" x14ac:dyDescent="0.25">
      <c r="I331" s="15"/>
      <c r="M331" s="33"/>
    </row>
    <row r="332" spans="9:13" x14ac:dyDescent="0.25">
      <c r="I332" s="15"/>
      <c r="M332" s="33"/>
    </row>
    <row r="333" spans="9:13" x14ac:dyDescent="0.25">
      <c r="I333" s="15"/>
      <c r="M333" s="33"/>
    </row>
    <row r="334" spans="9:13" x14ac:dyDescent="0.25">
      <c r="I334" s="15"/>
      <c r="M334" s="33"/>
    </row>
    <row r="335" spans="9:13" x14ac:dyDescent="0.25">
      <c r="I335" s="15"/>
      <c r="M335" s="33"/>
    </row>
    <row r="336" spans="9:13" x14ac:dyDescent="0.25">
      <c r="I336" s="15"/>
      <c r="M336" s="33"/>
    </row>
    <row r="337" spans="9:13" x14ac:dyDescent="0.25">
      <c r="I337" s="15"/>
      <c r="M337" s="33"/>
    </row>
    <row r="338" spans="9:13" x14ac:dyDescent="0.25">
      <c r="I338" s="15"/>
      <c r="M338" s="33"/>
    </row>
    <row r="339" spans="9:13" x14ac:dyDescent="0.25">
      <c r="I339" s="15"/>
      <c r="M339" s="33"/>
    </row>
    <row r="340" spans="9:13" x14ac:dyDescent="0.25">
      <c r="I340" s="15"/>
      <c r="M340" s="33"/>
    </row>
    <row r="341" spans="9:13" x14ac:dyDescent="0.25">
      <c r="I341" s="15"/>
      <c r="M341" s="33"/>
    </row>
    <row r="342" spans="9:13" x14ac:dyDescent="0.25">
      <c r="I342" s="15"/>
      <c r="M342" s="33"/>
    </row>
    <row r="343" spans="9:13" x14ac:dyDescent="0.25">
      <c r="I343" s="15"/>
      <c r="M343" s="33"/>
    </row>
    <row r="344" spans="9:13" x14ac:dyDescent="0.25">
      <c r="I344" s="15"/>
      <c r="M344" s="33"/>
    </row>
    <row r="345" spans="9:13" x14ac:dyDescent="0.25">
      <c r="I345" s="15"/>
      <c r="M345" s="33"/>
    </row>
    <row r="346" spans="9:13" x14ac:dyDescent="0.25">
      <c r="I346" s="15"/>
      <c r="M346" s="33"/>
    </row>
    <row r="347" spans="9:13" x14ac:dyDescent="0.25">
      <c r="I347" s="15"/>
      <c r="M347" s="33"/>
    </row>
    <row r="348" spans="9:13" x14ac:dyDescent="0.25">
      <c r="I348" s="15"/>
      <c r="M348" s="33"/>
    </row>
    <row r="349" spans="9:13" x14ac:dyDescent="0.25">
      <c r="I349" s="15"/>
      <c r="M349" s="33"/>
    </row>
    <row r="350" spans="9:13" x14ac:dyDescent="0.25">
      <c r="I350" s="15"/>
      <c r="M350" s="33"/>
    </row>
    <row r="351" spans="9:13" x14ac:dyDescent="0.25">
      <c r="I351" s="15"/>
      <c r="M351" s="33"/>
    </row>
    <row r="352" spans="9:13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9" sqref="E9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3491.9317837619551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1700</v>
      </c>
      <c r="E3" s="3">
        <f>SUMIFS(Daily_Report!E:E,Daily_Report!B:B,Table2[[#This Row],[UserID]])</f>
        <v>1947.4716911767914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744.2151803168839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2500</v>
      </c>
      <c r="E5" s="3">
        <f>SUMIFS(Daily_Report!E:E,Daily_Report!B:B,Table2[[#This Row],[UserID]])</f>
        <v>1988.1068133437345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1051.1845535362572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2577.8024177916459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2384.8994327170194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969.64971635850952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161.7884109972041</v>
      </c>
      <c r="F10" t="s">
        <v>90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abSelected="1" topLeftCell="A268" workbookViewId="0">
      <selection activeCell="E280" sqref="E28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94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</row>
    <row r="268" spans="1:8" x14ac:dyDescent="0.25">
      <c r="A268" s="28">
        <v>46022</v>
      </c>
      <c r="B268" s="14" t="s">
        <v>81</v>
      </c>
      <c r="C268" s="14">
        <v>1000</v>
      </c>
      <c r="D268" s="16">
        <v>14500</v>
      </c>
      <c r="E268" s="15">
        <v>57.048275862068962</v>
      </c>
      <c r="F268" s="14" t="s">
        <v>93</v>
      </c>
      <c r="G268" s="15">
        <v>880</v>
      </c>
      <c r="H268" s="14" t="s">
        <v>95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</row>
    <row r="278" spans="1:8" x14ac:dyDescent="0.25">
      <c r="A278" s="28">
        <v>46023</v>
      </c>
      <c r="B278" s="14" t="s">
        <v>81</v>
      </c>
      <c r="C278" s="14">
        <v>1000</v>
      </c>
      <c r="D278" s="16">
        <v>14800</v>
      </c>
      <c r="E278" s="15">
        <v>49.985135135135131</v>
      </c>
      <c r="F278" s="14" t="s">
        <v>93</v>
      </c>
      <c r="G278" s="15">
        <v>787</v>
      </c>
      <c r="H278" s="14" t="s">
        <v>95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79</v>
      </c>
      <c r="G280" s="15">
        <v>932</v>
      </c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79</v>
      </c>
      <c r="G281" s="15">
        <v>932</v>
      </c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79</v>
      </c>
      <c r="G282" s="15">
        <v>932</v>
      </c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79</v>
      </c>
      <c r="G283" s="15">
        <v>932</v>
      </c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79</v>
      </c>
      <c r="G284" s="15">
        <v>932</v>
      </c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79</v>
      </c>
      <c r="G285" s="15">
        <v>932</v>
      </c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79</v>
      </c>
      <c r="G286" s="15">
        <v>932</v>
      </c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79</v>
      </c>
      <c r="G287" s="15">
        <v>932</v>
      </c>
    </row>
    <row r="288" spans="1:8" x14ac:dyDescent="0.25">
      <c r="A288" s="28">
        <v>46024</v>
      </c>
      <c r="B288" s="14" t="s">
        <v>81</v>
      </c>
      <c r="C288" s="14">
        <v>1000</v>
      </c>
      <c r="D288" s="14">
        <v>16000</v>
      </c>
      <c r="E288" s="15">
        <v>54.754999999999995</v>
      </c>
      <c r="F288" s="14" t="s">
        <v>93</v>
      </c>
      <c r="G288" s="15">
        <v>932</v>
      </c>
      <c r="H288" s="14" t="s">
        <v>95</v>
      </c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17" sqref="F17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G27" sqref="G27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99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F26" t="s">
        <v>14</v>
      </c>
      <c r="G26">
        <v>6.83</v>
      </c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D1" sqref="D1:D1048576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bestFit="1" customWidth="1"/>
    <col min="6" max="6" width="37.42578125" bestFit="1" customWidth="1"/>
  </cols>
  <sheetData>
    <row r="1" spans="1:6" x14ac:dyDescent="0.25">
      <c r="A1" t="s">
        <v>0</v>
      </c>
      <c r="B1" t="s">
        <v>91</v>
      </c>
      <c r="C1" t="s">
        <v>94</v>
      </c>
      <c r="D1" s="3" t="s">
        <v>92</v>
      </c>
      <c r="E1" t="s">
        <v>96</v>
      </c>
      <c r="F1" t="s">
        <v>97</v>
      </c>
    </row>
    <row r="2" spans="1:6" x14ac:dyDescent="0.25">
      <c r="A2" t="s">
        <v>81</v>
      </c>
      <c r="B2">
        <v>500</v>
      </c>
      <c r="C2" t="s">
        <v>95</v>
      </c>
      <c r="D2" s="3">
        <f>SUMIFS(Daily_Report!E:E,Daily_Report!H:H,Re_Investment_Details!C:C)</f>
        <v>161.7884109972041</v>
      </c>
      <c r="E2">
        <f>Table6[[#This Row],[Requested_Amount]]-Table6[[#This Row],[Total_Added_Amount]]</f>
        <v>338.2115890027959</v>
      </c>
      <c r="F2" t="s">
        <v>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2026-01-03T01:19:10Z</dcterms:modified>
</cp:coreProperties>
</file>