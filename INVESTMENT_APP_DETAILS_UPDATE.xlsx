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1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N20" i="1" l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<sst xmlns="http://schemas.openxmlformats.org/spreadsheetml/2006/main" count="1474" uniqueCount="102">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</sst>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6" totalsRowDxfId="1"/>
    <tableColumn id="2" name="Profit_With_Tax" dataDxfId="15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4">
      <calculatedColumnFormula>SUMIFS(Daily_Report!E:E,Daily_Report!H:H,Re_Investment_Details!C:C)</calculatedColumnFormula>
    </tableColumn>
    <tableColumn id="5" name="Pending_Amount_To_Be_Add" dataDxfId="17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290" workbookViewId="0">
      <selection activeCell="L292" sqref="L292:L30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99</v>
      </c>
      <c r="L1" s="1" t="s">
        <v>16</v>
      </c>
      <c r="M1" s="1" t="s">
        <v>100</v>
      </c>
      <c r="N1" s="2" t="s">
        <v>101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85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83</v>
      </c>
      <c r="D280" s="14">
        <v>1000</v>
      </c>
      <c r="E280" s="14" t="s">
        <v>84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92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86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83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92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87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88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83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39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I302" s="15"/>
      <c r="M302" s="33"/>
    </row>
    <row r="303" spans="1:14" x14ac:dyDescent="0.25">
      <c r="I303" s="15"/>
      <c r="M303" s="33"/>
    </row>
    <row r="304" spans="1:14" x14ac:dyDescent="0.25">
      <c r="I304" s="15"/>
      <c r="M304" s="33"/>
    </row>
    <row r="305" spans="9:13" x14ac:dyDescent="0.25">
      <c r="I305" s="15"/>
      <c r="M305" s="33"/>
    </row>
    <row r="306" spans="9:13" x14ac:dyDescent="0.25">
      <c r="I306" s="15"/>
      <c r="M306" s="33"/>
    </row>
    <row r="307" spans="9:13" x14ac:dyDescent="0.25">
      <c r="I307" s="15"/>
      <c r="M307" s="33"/>
    </row>
    <row r="308" spans="9:13" x14ac:dyDescent="0.25">
      <c r="I308" s="15"/>
      <c r="M308" s="33"/>
    </row>
    <row r="309" spans="9:13" x14ac:dyDescent="0.25">
      <c r="I309" s="15"/>
      <c r="M309" s="33"/>
    </row>
    <row r="310" spans="9:13" x14ac:dyDescent="0.25">
      <c r="I310" s="15"/>
      <c r="M310" s="33"/>
    </row>
    <row r="311" spans="9:13" x14ac:dyDescent="0.25">
      <c r="I311" s="15"/>
      <c r="M311" s="33"/>
    </row>
    <row r="312" spans="9:13" x14ac:dyDescent="0.25">
      <c r="I312" s="15"/>
      <c r="M312" s="33"/>
    </row>
    <row r="313" spans="9:13" x14ac:dyDescent="0.25">
      <c r="I313" s="15"/>
      <c r="M313" s="33"/>
    </row>
    <row r="314" spans="9:13" x14ac:dyDescent="0.25">
      <c r="I314" s="15"/>
      <c r="M314" s="33"/>
    </row>
    <row r="315" spans="9:13" x14ac:dyDescent="0.25">
      <c r="I315" s="15"/>
      <c r="M315" s="33"/>
    </row>
    <row r="316" spans="9:13" x14ac:dyDescent="0.25">
      <c r="I316" s="15"/>
      <c r="M316" s="33"/>
    </row>
    <row r="317" spans="9:13" x14ac:dyDescent="0.25">
      <c r="I317" s="15"/>
      <c r="M317" s="33"/>
    </row>
    <row r="318" spans="9:13" x14ac:dyDescent="0.25">
      <c r="I318" s="15"/>
      <c r="M318" s="33"/>
    </row>
    <row r="319" spans="9:13" x14ac:dyDescent="0.25">
      <c r="I319" s="15"/>
      <c r="M319" s="33"/>
    </row>
    <row r="320" spans="9:13" x14ac:dyDescent="0.25">
      <c r="I320" s="15"/>
      <c r="M320" s="33"/>
    </row>
    <row r="321" spans="9:13" x14ac:dyDescent="0.25">
      <c r="I321" s="15"/>
      <c r="M321" s="33"/>
    </row>
    <row r="322" spans="9:13" x14ac:dyDescent="0.25">
      <c r="I322" s="15"/>
      <c r="M322" s="33"/>
    </row>
    <row r="323" spans="9:13" x14ac:dyDescent="0.25">
      <c r="I323" s="15"/>
      <c r="M323" s="33"/>
    </row>
    <row r="324" spans="9:13" x14ac:dyDescent="0.25">
      <c r="I324" s="15"/>
      <c r="M324" s="33"/>
    </row>
    <row r="325" spans="9:13" x14ac:dyDescent="0.25">
      <c r="I325" s="15"/>
      <c r="M325" s="33"/>
    </row>
    <row r="326" spans="9:13" x14ac:dyDescent="0.25">
      <c r="I326" s="15"/>
      <c r="M326" s="33"/>
    </row>
    <row r="327" spans="9:13" x14ac:dyDescent="0.25">
      <c r="I327" s="15"/>
      <c r="M327" s="33"/>
    </row>
    <row r="328" spans="9:13" x14ac:dyDescent="0.25">
      <c r="I328" s="15"/>
      <c r="M328" s="33"/>
    </row>
    <row r="329" spans="9:13" x14ac:dyDescent="0.25">
      <c r="I329" s="15"/>
      <c r="M329" s="33"/>
    </row>
    <row r="330" spans="9:13" x14ac:dyDescent="0.25">
      <c r="I330" s="15"/>
      <c r="M330" s="33"/>
    </row>
    <row r="331" spans="9:13" x14ac:dyDescent="0.25">
      <c r="I331" s="15"/>
      <c r="M331" s="33"/>
    </row>
    <row r="332" spans="9:13" x14ac:dyDescent="0.25">
      <c r="I332" s="15"/>
      <c r="M332" s="33"/>
    </row>
    <row r="333" spans="9:13" x14ac:dyDescent="0.25">
      <c r="I333" s="15"/>
      <c r="M333" s="33"/>
    </row>
    <row r="334" spans="9:13" x14ac:dyDescent="0.25">
      <c r="I334" s="15"/>
      <c r="M334" s="33"/>
    </row>
    <row r="335" spans="9:13" x14ac:dyDescent="0.25">
      <c r="I335" s="15"/>
      <c r="M335" s="33"/>
    </row>
    <row r="336" spans="9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tabSelected="1" workbookViewId="0">
      <selection activeCell="E24" sqref="E2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3491.9317837619551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1947.4716911767914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744.2151803168839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1988.1068133437345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1051.1845535362572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2577.8024177916459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2384.8994327170194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969.64971635850952</v>
      </c>
      <c r="F9" t="s">
        <v>65</v>
      </c>
    </row>
    <row r="10" spans="1:6" x14ac:dyDescent="0.25">
      <c r="A10" t="s">
        <v>80</v>
      </c>
      <c r="B10" t="s">
        <v>83</v>
      </c>
      <c r="C10" t="s">
        <v>82</v>
      </c>
      <c r="D10">
        <v>1000</v>
      </c>
      <c r="E10" s="3">
        <f>SUMIFS(Daily_Report!E:E,Daily_Report!B:B,Table2[[#This Row],[UserID]])</f>
        <v>161.7884109972041</v>
      </c>
      <c r="F10" t="s">
        <v>89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268" workbookViewId="0">
      <selection activeCell="H294" sqref="H294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93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92</v>
      </c>
      <c r="G268" s="15">
        <v>880</v>
      </c>
      <c r="H268" s="14" t="s">
        <v>94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92</v>
      </c>
      <c r="G278" s="15">
        <v>787</v>
      </c>
      <c r="H278" s="14" t="s">
        <v>94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92</v>
      </c>
      <c r="G288" s="15">
        <v>932</v>
      </c>
      <c r="H288" s="14" t="s">
        <v>94</v>
      </c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80</v>
      </c>
      <c r="B17" t="s">
        <v>81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I23" sqref="I23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98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F26" t="s">
        <v>14</v>
      </c>
      <c r="G26">
        <v>6.83</v>
      </c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E23" sqref="E23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90</v>
      </c>
      <c r="C1" t="s">
        <v>93</v>
      </c>
      <c r="D1" s="3" t="s">
        <v>91</v>
      </c>
      <c r="E1" t="s">
        <v>95</v>
      </c>
      <c r="F1" t="s">
        <v>96</v>
      </c>
    </row>
    <row r="2" spans="1:6" x14ac:dyDescent="0.25">
      <c r="A2" t="s">
        <v>80</v>
      </c>
      <c r="B2">
        <v>500</v>
      </c>
      <c r="C2" t="s">
        <v>94</v>
      </c>
      <c r="D2" s="3">
        <f>SUMIFS(Daily_Report!E:E,Daily_Report!H:H,Re_Investment_Details!C:C)</f>
        <v>161.7884109972041</v>
      </c>
      <c r="E2">
        <f>Table6[[#This Row],[Requested_Amount]]-Table6[[#This Row],[Total_Added_Amount]]</f>
        <v>338.2115890027959</v>
      </c>
      <c r="F2" t="s">
        <v>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2026-01-03T04:29:15Z</dcterms:modified>
</cp:coreProperties>
</file>