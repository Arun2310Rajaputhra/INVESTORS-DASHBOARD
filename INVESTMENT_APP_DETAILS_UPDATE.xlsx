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2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18" i="7" l="1"/>
  <c r="N310" i="1"/>
  <c r="N309" i="1"/>
  <c r="N308" i="1"/>
  <c r="N307" i="1"/>
  <c r="N306" i="1"/>
  <c r="N305" i="1"/>
  <c r="N304" i="1"/>
  <c r="N303" i="1"/>
  <c r="N302" i="1"/>
  <c r="K310" i="1"/>
  <c r="K309" i="1"/>
  <c r="K308" i="1"/>
  <c r="K307" i="1"/>
  <c r="K306" i="1"/>
  <c r="K305" i="1"/>
  <c r="K304" i="1"/>
  <c r="K303" i="1"/>
  <c r="K302" i="1"/>
  <c r="J310" i="1"/>
  <c r="J309" i="1"/>
  <c r="J308" i="1"/>
  <c r="J307" i="1"/>
  <c r="J306" i="1"/>
  <c r="J305" i="1"/>
  <c r="J304" i="1"/>
  <c r="J303" i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<sst xmlns="http://schemas.openxmlformats.org/spreadsheetml/2006/main" count="1539" uniqueCount="105">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</sst>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18" totalsRowShown="0">
  <autoFilter ref="A1:G18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288" workbookViewId="0">
      <selection activeCell="K307" sqref="K30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99</v>
      </c>
      <c r="L1" s="1" t="s">
        <v>16</v>
      </c>
      <c r="M1" s="1" t="s">
        <v>100</v>
      </c>
      <c r="N1" s="2" t="s">
        <v>101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85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83</v>
      </c>
      <c r="D280" s="14">
        <v>1000</v>
      </c>
      <c r="E280" s="14" t="s">
        <v>84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92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86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83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92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87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88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83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92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83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92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I312" s="15"/>
      <c r="M312" s="33"/>
    </row>
    <row r="313" spans="1:14" x14ac:dyDescent="0.25">
      <c r="I313" s="15"/>
      <c r="M313" s="33"/>
    </row>
    <row r="314" spans="1:14" x14ac:dyDescent="0.25">
      <c r="I314" s="15"/>
      <c r="M314" s="33"/>
    </row>
    <row r="315" spans="1:14" x14ac:dyDescent="0.25">
      <c r="I315" s="15"/>
      <c r="M315" s="33"/>
    </row>
    <row r="316" spans="1:14" x14ac:dyDescent="0.25">
      <c r="I316" s="15"/>
      <c r="M316" s="33"/>
    </row>
    <row r="317" spans="1:14" x14ac:dyDescent="0.25">
      <c r="I317" s="15"/>
      <c r="M317" s="33"/>
    </row>
    <row r="318" spans="1:14" x14ac:dyDescent="0.25">
      <c r="I318" s="15"/>
      <c r="M318" s="33"/>
    </row>
    <row r="319" spans="1:14" x14ac:dyDescent="0.25">
      <c r="I319" s="15"/>
      <c r="M319" s="33"/>
    </row>
    <row r="320" spans="1:14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4" sqref="E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3667.4062837619549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2025.9734411767913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790.39268031688391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2103.5505633437347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1097.3620535362572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2670.1574177916459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2477.2544327170194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1015.8272163585095</v>
      </c>
      <c r="F9" t="s">
        <v>65</v>
      </c>
    </row>
    <row r="10" spans="1:6" x14ac:dyDescent="0.25">
      <c r="A10" t="s">
        <v>80</v>
      </c>
      <c r="B10" t="s">
        <v>83</v>
      </c>
      <c r="C10" t="s">
        <v>82</v>
      </c>
      <c r="D10">
        <v>1000</v>
      </c>
      <c r="E10" s="3">
        <f>SUMIFS(Daily_Report!E:E,Daily_Report!B:B,Table2[[#This Row],[UserID]])</f>
        <v>207.96591099720411</v>
      </c>
      <c r="F10" t="s">
        <v>89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71" workbookViewId="0">
      <selection activeCell="F291" sqref="F29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93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92</v>
      </c>
      <c r="G268" s="15">
        <v>880</v>
      </c>
      <c r="H268" s="14" t="s">
        <v>94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92</v>
      </c>
      <c r="G278" s="15">
        <v>787</v>
      </c>
      <c r="H278" s="14" t="s">
        <v>94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92</v>
      </c>
      <c r="G288" s="15">
        <v>932</v>
      </c>
      <c r="H288" s="14" t="s">
        <v>94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92</v>
      </c>
      <c r="G298" s="15">
        <v>786</v>
      </c>
      <c r="H298" s="33" t="s">
        <v>94</v>
      </c>
    </row>
    <row r="299" spans="1:8" x14ac:dyDescent="0.25">
      <c r="D299" s="16"/>
      <c r="G299" s="15"/>
    </row>
    <row r="300" spans="1:8" x14ac:dyDescent="0.25">
      <c r="D300" s="16"/>
      <c r="G300" s="15"/>
    </row>
    <row r="301" spans="1:8" x14ac:dyDescent="0.25">
      <c r="D301" s="16"/>
      <c r="G301" s="15"/>
    </row>
    <row r="302" spans="1:8" x14ac:dyDescent="0.25">
      <c r="D302" s="16"/>
      <c r="G302" s="15"/>
    </row>
    <row r="303" spans="1:8" x14ac:dyDescent="0.25">
      <c r="D303" s="16"/>
      <c r="G303" s="15"/>
    </row>
    <row r="304" spans="1:8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workbookViewId="0">
      <selection activeCell="E19" sqref="E19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102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103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103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103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103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103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103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103</v>
      </c>
    </row>
    <row r="9" spans="1:7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104</v>
      </c>
    </row>
    <row r="10" spans="1:7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104</v>
      </c>
    </row>
    <row r="11" spans="1:7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104</v>
      </c>
    </row>
    <row r="12" spans="1:7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104</v>
      </c>
    </row>
    <row r="13" spans="1:7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104</v>
      </c>
    </row>
    <row r="14" spans="1:7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104</v>
      </c>
    </row>
    <row r="15" spans="1:7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104</v>
      </c>
    </row>
    <row r="16" spans="1:7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104</v>
      </c>
    </row>
    <row r="17" spans="1:7" x14ac:dyDescent="0.25">
      <c r="A17" t="s">
        <v>80</v>
      </c>
      <c r="B17" t="s">
        <v>81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104</v>
      </c>
    </row>
    <row r="18" spans="1:7" x14ac:dyDescent="0.25">
      <c r="A18" t="s">
        <v>12</v>
      </c>
      <c r="B18" t="s">
        <v>61</v>
      </c>
      <c r="C18">
        <v>1764</v>
      </c>
      <c r="D18">
        <v>220.5</v>
      </c>
      <c r="E18">
        <v>200</v>
      </c>
      <c r="F18" s="29">
        <f>Table5[[#This Row],[Charge_Per_Head]]-Table5[[#This Row],[Paid_Amt]]</f>
        <v>20.5</v>
      </c>
      <c r="G18" t="s">
        <v>104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98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D2" sqref="D2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90</v>
      </c>
      <c r="C1" t="s">
        <v>93</v>
      </c>
      <c r="D1" s="3" t="s">
        <v>91</v>
      </c>
      <c r="E1" t="s">
        <v>95</v>
      </c>
      <c r="F1" t="s">
        <v>96</v>
      </c>
    </row>
    <row r="2" spans="1:6" x14ac:dyDescent="0.25">
      <c r="A2" t="s">
        <v>80</v>
      </c>
      <c r="B2">
        <v>500</v>
      </c>
      <c r="C2" t="s">
        <v>94</v>
      </c>
      <c r="D2" s="3">
        <f>SUMIFS(Daily_Report!E:E,Daily_Report!H:H,Re_Investment_Details!C:C)</f>
        <v>207.96591099720411</v>
      </c>
      <c r="E2">
        <f>Table6[[#This Row],[Requested_Amount]]-Table6[[#This Row],[Total_Added_Amount]]</f>
        <v>292.03408900279589</v>
      </c>
      <c r="F2" t="s">
        <v>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2026-01-04T05:48:15Z</dcterms:modified>
</cp:coreProperties>
</file>