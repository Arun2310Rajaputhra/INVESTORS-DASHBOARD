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290" i="1" l="1"/>
  <c r="J289" i="1"/>
  <c r="J288" i="1"/>
  <c r="J287" i="1"/>
  <c r="J286" i="1"/>
  <c r="J285" i="1"/>
  <c r="J284" i="1"/>
  <c r="J283" i="1"/>
  <c r="J282" i="1"/>
  <c r="J273" i="1" l="1"/>
  <c r="J274" i="1"/>
  <c r="J275" i="1"/>
  <c r="J276" i="1"/>
  <c r="J277" i="1"/>
  <c r="J278" i="1"/>
  <c r="J279" i="1"/>
  <c r="J280" i="1"/>
  <c r="K273" i="1"/>
  <c r="K274" i="1"/>
  <c r="K275" i="1"/>
  <c r="K276" i="1"/>
  <c r="K277" i="1"/>
  <c r="K278" i="1"/>
  <c r="K279" i="1"/>
  <c r="K280" i="1"/>
  <c r="J272" i="1"/>
  <c r="K272" i="1" s="1"/>
  <c r="K270" i="1" l="1"/>
  <c r="K269" i="1"/>
  <c r="K268" i="1"/>
  <c r="K267" i="1"/>
  <c r="K266" i="1"/>
  <c r="K265" i="1"/>
  <c r="K264" i="1"/>
  <c r="K263" i="1"/>
  <c r="J270" i="1"/>
  <c r="J269" i="1"/>
  <c r="J268" i="1"/>
  <c r="J267" i="1"/>
  <c r="J266" i="1"/>
  <c r="J265" i="1"/>
  <c r="J264" i="1"/>
  <c r="J263" i="1"/>
  <c r="E10" i="2"/>
  <c r="F17" i="7"/>
  <c r="L14" i="6"/>
  <c r="L13" i="6"/>
  <c r="R17" i="6"/>
  <c r="K261" i="1" l="1"/>
  <c r="K260" i="1"/>
  <c r="K259" i="1"/>
  <c r="K258" i="1"/>
  <c r="K257" i="1"/>
  <c r="K256" i="1"/>
  <c r="K255" i="1"/>
  <c r="K254" i="1"/>
  <c r="J261" i="1"/>
  <c r="J260" i="1"/>
  <c r="J259" i="1"/>
  <c r="J258" i="1"/>
  <c r="J257" i="1"/>
  <c r="J256" i="1"/>
  <c r="J255" i="1"/>
  <c r="J254" i="1"/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J243" i="1" l="1"/>
  <c r="K243" i="1" s="1"/>
  <c r="K242" i="1"/>
  <c r="J242" i="1"/>
  <c r="K241" i="1"/>
  <c r="J241" i="1"/>
  <c r="J240" i="1"/>
  <c r="K240" i="1" s="1"/>
  <c r="J239" i="1"/>
  <c r="K239" i="1" s="1"/>
  <c r="J238" i="1"/>
  <c r="K238" i="1" s="1"/>
  <c r="K237" i="1"/>
  <c r="J237" i="1"/>
  <c r="K236" i="1"/>
  <c r="J236" i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J207" i="1" l="1"/>
  <c r="K207" i="1" s="1"/>
  <c r="J206" i="1"/>
  <c r="K206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8" i="1" l="1"/>
  <c r="K198" i="1" s="1"/>
  <c r="K197" i="1"/>
  <c r="J197" i="1"/>
  <c r="K196" i="1"/>
  <c r="J196" i="1"/>
  <c r="K195" i="1"/>
  <c r="J195" i="1"/>
  <c r="K194" i="1"/>
  <c r="J194" i="1"/>
  <c r="J193" i="1"/>
  <c r="K193" i="1" s="1"/>
  <c r="J192" i="1"/>
  <c r="K192" i="1" s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 s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28" i="1"/>
  <c r="K128" i="1" s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<sst xmlns="http://schemas.openxmlformats.org/spreadsheetml/2006/main" count="1455" uniqueCount="90">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</sst>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273" workbookViewId="0">
      <selection activeCell="G289" sqref="G289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</row>
    <row r="253" spans="1:12" x14ac:dyDescent="0.25">
      <c r="I253" s="15"/>
    </row>
    <row r="254" spans="1:12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</row>
    <row r="255" spans="1:12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</row>
    <row r="256" spans="1:12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</row>
    <row r="257" spans="1:12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</row>
    <row r="258" spans="1:12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</row>
    <row r="259" spans="1:12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</row>
    <row r="260" spans="1:12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</row>
    <row r="261" spans="1:12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</row>
    <row r="262" spans="1:12" x14ac:dyDescent="0.25">
      <c r="I262" s="15"/>
    </row>
    <row r="263" spans="1:12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</row>
    <row r="264" spans="1:12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</row>
    <row r="265" spans="1:12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</row>
    <row r="266" spans="1:12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</row>
    <row r="267" spans="1:12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</row>
    <row r="268" spans="1:12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</row>
    <row r="269" spans="1:12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</row>
    <row r="270" spans="1:12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</row>
    <row r="271" spans="1:12" x14ac:dyDescent="0.25">
      <c r="I271" s="15"/>
    </row>
    <row r="272" spans="1:12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79</v>
      </c>
    </row>
    <row r="273" spans="1:12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79</v>
      </c>
    </row>
    <row r="274" spans="1:12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86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79</v>
      </c>
    </row>
    <row r="275" spans="1:12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79</v>
      </c>
    </row>
    <row r="276" spans="1:12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79</v>
      </c>
    </row>
    <row r="277" spans="1:12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79</v>
      </c>
    </row>
    <row r="278" spans="1:12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79</v>
      </c>
    </row>
    <row r="279" spans="1:12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79</v>
      </c>
    </row>
    <row r="280" spans="1:12" x14ac:dyDescent="0.25">
      <c r="A280" s="28">
        <v>46022</v>
      </c>
      <c r="B280" s="14" t="s">
        <v>81</v>
      </c>
      <c r="C280" s="14" t="s">
        <v>84</v>
      </c>
      <c r="D280" s="14">
        <v>1000</v>
      </c>
      <c r="E280" s="14" t="s">
        <v>85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79</v>
      </c>
    </row>
    <row r="281" spans="1:12" x14ac:dyDescent="0.25">
      <c r="I281" s="15"/>
    </row>
    <row r="282" spans="1:12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87</v>
      </c>
      <c r="G282" s="14">
        <v>3800</v>
      </c>
      <c r="H282" s="14">
        <v>14800</v>
      </c>
      <c r="I282" s="15"/>
      <c r="J282" s="15">
        <f>Table1[[#This Row],[User_Invest_Amount_As_On_Date]]/Table1[[#This Row],[Company_Total_Investment_As_On_Date]]</f>
        <v>0.25675675675675674</v>
      </c>
      <c r="L282" s="14" t="s">
        <v>79</v>
      </c>
    </row>
    <row r="283" spans="1:12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/>
      <c r="J283" s="15">
        <f>Table1[[#This Row],[User_Invest_Amount_As_On_Date]]/Table1[[#This Row],[Company_Total_Investment_As_On_Date]]</f>
        <v>0.10135135135135136</v>
      </c>
      <c r="L283" s="14" t="s">
        <v>79</v>
      </c>
    </row>
    <row r="284" spans="1:12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/>
      <c r="J284" s="15">
        <f>Table1[[#This Row],[User_Invest_Amount_As_On_Date]]/Table1[[#This Row],[Company_Total_Investment_As_On_Date]]</f>
        <v>6.7567567567567571E-2</v>
      </c>
      <c r="L284" s="14" t="s">
        <v>79</v>
      </c>
    </row>
    <row r="285" spans="1:12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/>
      <c r="J285" s="15">
        <f>Table1[[#This Row],[User_Invest_Amount_As_On_Date]]/Table1[[#This Row],[Company_Total_Investment_As_On_Date]]</f>
        <v>0.10135135135135136</v>
      </c>
      <c r="L285" s="14" t="s">
        <v>79</v>
      </c>
    </row>
    <row r="286" spans="1:12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/>
      <c r="J286" s="15">
        <f>Table1[[#This Row],[User_Invest_Amount_As_On_Date]]/Table1[[#This Row],[Company_Total_Investment_As_On_Date]]</f>
        <v>6.7567567567567571E-2</v>
      </c>
      <c r="L286" s="14" t="s">
        <v>79</v>
      </c>
    </row>
    <row r="287" spans="1:12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/>
      <c r="J287" s="15">
        <f>Table1[[#This Row],[User_Invest_Amount_As_On_Date]]/Table1[[#This Row],[Company_Total_Investment_As_On_Date]]</f>
        <v>0.13513513513513514</v>
      </c>
      <c r="L287" s="14" t="s">
        <v>79</v>
      </c>
    </row>
    <row r="288" spans="1:12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/>
      <c r="J288" s="15">
        <f>Table1[[#This Row],[User_Invest_Amount_As_On_Date]]/Table1[[#This Row],[Company_Total_Investment_As_On_Date]]</f>
        <v>0.13513513513513514</v>
      </c>
      <c r="L288" s="14" t="s">
        <v>79</v>
      </c>
    </row>
    <row r="289" spans="1:12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/>
      <c r="J289" s="15">
        <f>Table1[[#This Row],[User_Invest_Amount_As_On_Date]]/Table1[[#This Row],[Company_Total_Investment_As_On_Date]]</f>
        <v>6.7567567567567571E-2</v>
      </c>
      <c r="L289" s="14" t="s">
        <v>79</v>
      </c>
    </row>
    <row r="290" spans="1:12" x14ac:dyDescent="0.25">
      <c r="A290" s="28">
        <v>46023</v>
      </c>
      <c r="B290" s="14" t="s">
        <v>81</v>
      </c>
      <c r="C290" s="14" t="s">
        <v>84</v>
      </c>
      <c r="G290" s="14">
        <v>1000</v>
      </c>
      <c r="H290" s="14">
        <v>14800</v>
      </c>
      <c r="I290" s="15"/>
      <c r="J290" s="15">
        <f>Table1[[#This Row],[User_Invest_Amount_As_On_Date]]/Table1[[#This Row],[Company_Total_Investment_As_On_Date]]</f>
        <v>6.7567567567567571E-2</v>
      </c>
      <c r="L290" s="14" t="s">
        <v>79</v>
      </c>
    </row>
    <row r="291" spans="1:12" x14ac:dyDescent="0.25">
      <c r="I291" s="15"/>
    </row>
    <row r="292" spans="1:12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/>
      <c r="L292" s="14" t="s">
        <v>79</v>
      </c>
    </row>
    <row r="293" spans="1:12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88</v>
      </c>
      <c r="G293" s="14">
        <v>1700</v>
      </c>
      <c r="H293" s="14">
        <v>16000</v>
      </c>
      <c r="I293" s="15"/>
      <c r="L293" s="14" t="s">
        <v>79</v>
      </c>
    </row>
    <row r="294" spans="1:12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/>
      <c r="L294" s="14" t="s">
        <v>79</v>
      </c>
    </row>
    <row r="295" spans="1:12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89</v>
      </c>
      <c r="G295" s="14">
        <v>2500</v>
      </c>
      <c r="H295" s="14">
        <v>16000</v>
      </c>
      <c r="I295" s="15"/>
      <c r="L295" s="14" t="s">
        <v>79</v>
      </c>
    </row>
    <row r="296" spans="1:12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/>
      <c r="L296" s="14" t="s">
        <v>79</v>
      </c>
    </row>
    <row r="297" spans="1:12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/>
      <c r="L297" s="14" t="s">
        <v>79</v>
      </c>
    </row>
    <row r="298" spans="1:12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/>
      <c r="L298" s="14" t="s">
        <v>79</v>
      </c>
    </row>
    <row r="299" spans="1:12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/>
      <c r="L299" s="14" t="s">
        <v>79</v>
      </c>
    </row>
    <row r="300" spans="1:12" x14ac:dyDescent="0.25">
      <c r="A300" s="28">
        <v>46024</v>
      </c>
      <c r="B300" s="14" t="s">
        <v>81</v>
      </c>
      <c r="C300" s="14" t="s">
        <v>84</v>
      </c>
      <c r="G300" s="14">
        <v>1000</v>
      </c>
      <c r="H300" s="14">
        <v>16000</v>
      </c>
      <c r="I300" s="15"/>
      <c r="L300" s="14" t="s">
        <v>79</v>
      </c>
    </row>
    <row r="301" spans="1:12" x14ac:dyDescent="0.25">
      <c r="I301" s="15"/>
    </row>
    <row r="302" spans="1:12" x14ac:dyDescent="0.25">
      <c r="I302" s="15"/>
    </row>
    <row r="303" spans="1:12" x14ac:dyDescent="0.25">
      <c r="I303" s="15"/>
    </row>
    <row r="304" spans="1:12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21" sqref="E21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3800</v>
      </c>
      <c r="E2" s="3">
        <f>SUMIFS(Daily_Report!E:E,Daily_Report!B:B,Table2[[#This Row],[UserID]])</f>
        <v>3106.6640978346486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1700</v>
      </c>
      <c r="E3" s="3">
        <f>SUMIFS(Daily_Report!E:E,Daily_Report!B:B,Table2[[#This Row],[UserID]])</f>
        <v>1784.872557439606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643.11642449209364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2500</v>
      </c>
      <c r="E5" s="3">
        <f>SUMIFS(Daily_Report!E:E,Daily_Report!B:B,Table2[[#This Row],[UserID]])</f>
        <v>1781.703679606549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950.08579771146685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2375.6049061420649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2182.7019210674384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868.55096053371926</v>
      </c>
      <c r="F9" t="s">
        <v>65</v>
      </c>
    </row>
    <row r="10" spans="1:6" x14ac:dyDescent="0.25">
      <c r="A10" t="s">
        <v>81</v>
      </c>
      <c r="B10" t="s">
        <v>84</v>
      </c>
      <c r="C10" t="s">
        <v>83</v>
      </c>
      <c r="D10">
        <v>1000</v>
      </c>
      <c r="E10" s="3">
        <f>SUMIFS(Daily_Report!E:E,Daily_Report!B:B,Table2[[#This Row],[UserID]])</f>
        <v>60.689655172413794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261" workbookViewId="0">
      <selection activeCell="I277" sqref="I277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7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7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7" x14ac:dyDescent="0.25">
      <c r="D259" s="16"/>
      <c r="G259" s="15"/>
    </row>
    <row r="260" spans="1:7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212.41379310344828</v>
      </c>
      <c r="F260" s="14" t="s">
        <v>79</v>
      </c>
      <c r="G260" s="15">
        <v>880</v>
      </c>
    </row>
    <row r="261" spans="1:7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91.034482758620683</v>
      </c>
      <c r="F261" s="14" t="s">
        <v>79</v>
      </c>
      <c r="G261" s="15">
        <v>880</v>
      </c>
    </row>
    <row r="262" spans="1:7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60.689655172413794</v>
      </c>
      <c r="F262" s="14" t="s">
        <v>79</v>
      </c>
      <c r="G262" s="15">
        <v>880</v>
      </c>
    </row>
    <row r="263" spans="1:7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91.034482758620683</v>
      </c>
      <c r="F263" s="14" t="s">
        <v>79</v>
      </c>
      <c r="G263" s="15">
        <v>880</v>
      </c>
    </row>
    <row r="264" spans="1:7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60.689655172413794</v>
      </c>
      <c r="F264" s="14" t="s">
        <v>79</v>
      </c>
      <c r="G264" s="15">
        <v>880</v>
      </c>
    </row>
    <row r="265" spans="1:7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121.37931034482759</v>
      </c>
      <c r="F265" s="14" t="s">
        <v>79</v>
      </c>
      <c r="G265" s="15">
        <v>880</v>
      </c>
    </row>
    <row r="266" spans="1:7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121.37931034482759</v>
      </c>
      <c r="F266" s="14" t="s">
        <v>79</v>
      </c>
      <c r="G266" s="15">
        <v>880</v>
      </c>
    </row>
    <row r="267" spans="1:7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60.689655172413794</v>
      </c>
      <c r="F267" s="14" t="s">
        <v>79</v>
      </c>
      <c r="G267" s="15">
        <v>880</v>
      </c>
    </row>
    <row r="268" spans="1:7" x14ac:dyDescent="0.25">
      <c r="A268" s="28">
        <v>46022</v>
      </c>
      <c r="B268" s="14" t="s">
        <v>81</v>
      </c>
      <c r="C268" s="14">
        <v>1000</v>
      </c>
      <c r="D268" s="16">
        <v>14500</v>
      </c>
      <c r="E268" s="15">
        <v>60.689655172413794</v>
      </c>
      <c r="F268" s="14" t="s">
        <v>79</v>
      </c>
      <c r="G268" s="15">
        <v>880</v>
      </c>
    </row>
    <row r="269" spans="1:7" x14ac:dyDescent="0.25">
      <c r="D269" s="16"/>
      <c r="G269" s="15"/>
    </row>
    <row r="270" spans="1:7" x14ac:dyDescent="0.25">
      <c r="A270" s="28">
        <v>46023</v>
      </c>
      <c r="B270" s="14" t="s">
        <v>7</v>
      </c>
      <c r="C270" s="14">
        <v>3800</v>
      </c>
      <c r="D270" s="16">
        <v>14800</v>
      </c>
      <c r="F270" s="14" t="s">
        <v>79</v>
      </c>
      <c r="G270" s="15"/>
    </row>
    <row r="271" spans="1:7" x14ac:dyDescent="0.25">
      <c r="A271" s="28">
        <v>46023</v>
      </c>
      <c r="B271" s="14" t="s">
        <v>12</v>
      </c>
      <c r="C271" s="14">
        <v>1500</v>
      </c>
      <c r="D271" s="16">
        <v>14800</v>
      </c>
      <c r="F271" s="14" t="s">
        <v>79</v>
      </c>
      <c r="G271" s="15"/>
    </row>
    <row r="272" spans="1:7" x14ac:dyDescent="0.25">
      <c r="A272" s="28">
        <v>46023</v>
      </c>
      <c r="B272" s="14" t="s">
        <v>14</v>
      </c>
      <c r="C272" s="14">
        <v>1000</v>
      </c>
      <c r="D272" s="16">
        <v>14800</v>
      </c>
      <c r="F272" s="14" t="s">
        <v>79</v>
      </c>
      <c r="G272" s="15"/>
    </row>
    <row r="273" spans="1:7" x14ac:dyDescent="0.25">
      <c r="A273" s="28">
        <v>46023</v>
      </c>
      <c r="B273" s="14" t="s">
        <v>17</v>
      </c>
      <c r="C273" s="14">
        <v>1500</v>
      </c>
      <c r="D273" s="16">
        <v>14800</v>
      </c>
      <c r="F273" s="14" t="s">
        <v>79</v>
      </c>
      <c r="G273" s="15"/>
    </row>
    <row r="274" spans="1:7" x14ac:dyDescent="0.25">
      <c r="A274" s="28">
        <v>46023</v>
      </c>
      <c r="B274" s="14" t="s">
        <v>19</v>
      </c>
      <c r="C274" s="14">
        <v>1000</v>
      </c>
      <c r="D274" s="16">
        <v>14800</v>
      </c>
      <c r="F274" s="14" t="s">
        <v>79</v>
      </c>
      <c r="G274" s="15"/>
    </row>
    <row r="275" spans="1:7" x14ac:dyDescent="0.25">
      <c r="A275" s="28">
        <v>46023</v>
      </c>
      <c r="B275" s="14" t="s">
        <v>21</v>
      </c>
      <c r="C275" s="14">
        <v>2000</v>
      </c>
      <c r="D275" s="16">
        <v>14800</v>
      </c>
      <c r="F275" s="14" t="s">
        <v>79</v>
      </c>
      <c r="G275" s="15"/>
    </row>
    <row r="276" spans="1:7" x14ac:dyDescent="0.25">
      <c r="A276" s="28">
        <v>46023</v>
      </c>
      <c r="B276" s="14" t="s">
        <v>50</v>
      </c>
      <c r="C276" s="14">
        <v>2000</v>
      </c>
      <c r="D276" s="16">
        <v>14800</v>
      </c>
      <c r="F276" s="14" t="s">
        <v>79</v>
      </c>
      <c r="G276" s="15"/>
    </row>
    <row r="277" spans="1:7" x14ac:dyDescent="0.25">
      <c r="A277" s="28">
        <v>46023</v>
      </c>
      <c r="B277" s="14" t="s">
        <v>59</v>
      </c>
      <c r="C277" s="14">
        <v>1000</v>
      </c>
      <c r="D277" s="16">
        <v>14800</v>
      </c>
      <c r="F277" s="14" t="s">
        <v>79</v>
      </c>
      <c r="G277" s="15"/>
    </row>
    <row r="278" spans="1:7" x14ac:dyDescent="0.25">
      <c r="A278" s="28">
        <v>46023</v>
      </c>
      <c r="B278" s="14" t="s">
        <v>81</v>
      </c>
      <c r="C278" s="14">
        <v>1000</v>
      </c>
      <c r="D278" s="16">
        <v>14800</v>
      </c>
      <c r="F278" s="14" t="s">
        <v>79</v>
      </c>
      <c r="G278" s="15"/>
    </row>
    <row r="279" spans="1:7" x14ac:dyDescent="0.25">
      <c r="D279" s="16"/>
      <c r="G279" s="15"/>
    </row>
    <row r="280" spans="1:7" x14ac:dyDescent="0.25">
      <c r="A280" s="28">
        <v>46024</v>
      </c>
      <c r="B280" s="14" t="s">
        <v>7</v>
      </c>
      <c r="C280" s="14">
        <v>3800</v>
      </c>
      <c r="D280" s="14">
        <v>16000</v>
      </c>
      <c r="F280" s="14" t="s">
        <v>79</v>
      </c>
      <c r="G280" s="15"/>
    </row>
    <row r="281" spans="1:7" x14ac:dyDescent="0.25">
      <c r="A281" s="28">
        <v>46024</v>
      </c>
      <c r="B281" s="14" t="s">
        <v>12</v>
      </c>
      <c r="C281" s="14">
        <v>1700</v>
      </c>
      <c r="D281" s="14">
        <v>16000</v>
      </c>
      <c r="F281" s="14" t="s">
        <v>79</v>
      </c>
      <c r="G281" s="15"/>
    </row>
    <row r="282" spans="1:7" x14ac:dyDescent="0.25">
      <c r="A282" s="28">
        <v>46024</v>
      </c>
      <c r="B282" s="14" t="s">
        <v>14</v>
      </c>
      <c r="C282" s="14">
        <v>1000</v>
      </c>
      <c r="D282" s="14">
        <v>16000</v>
      </c>
      <c r="F282" s="14" t="s">
        <v>79</v>
      </c>
      <c r="G282" s="15"/>
    </row>
    <row r="283" spans="1:7" x14ac:dyDescent="0.25">
      <c r="A283" s="28">
        <v>46024</v>
      </c>
      <c r="B283" s="14" t="s">
        <v>17</v>
      </c>
      <c r="C283" s="14">
        <v>2500</v>
      </c>
      <c r="D283" s="14">
        <v>16000</v>
      </c>
      <c r="F283" s="14" t="s">
        <v>79</v>
      </c>
      <c r="G283" s="15"/>
    </row>
    <row r="284" spans="1:7" x14ac:dyDescent="0.25">
      <c r="A284" s="28">
        <v>46024</v>
      </c>
      <c r="B284" s="14" t="s">
        <v>19</v>
      </c>
      <c r="C284" s="14">
        <v>1000</v>
      </c>
      <c r="D284" s="14">
        <v>16000</v>
      </c>
      <c r="F284" s="14" t="s">
        <v>79</v>
      </c>
      <c r="G284" s="15"/>
    </row>
    <row r="285" spans="1:7" x14ac:dyDescent="0.25">
      <c r="A285" s="28">
        <v>46024</v>
      </c>
      <c r="B285" s="14" t="s">
        <v>21</v>
      </c>
      <c r="C285" s="14">
        <v>2000</v>
      </c>
      <c r="D285" s="14">
        <v>16000</v>
      </c>
      <c r="F285" s="14" t="s">
        <v>79</v>
      </c>
      <c r="G285" s="15"/>
    </row>
    <row r="286" spans="1:7" x14ac:dyDescent="0.25">
      <c r="A286" s="28">
        <v>46024</v>
      </c>
      <c r="B286" s="14" t="s">
        <v>50</v>
      </c>
      <c r="C286" s="14">
        <v>2000</v>
      </c>
      <c r="D286" s="14">
        <v>16000</v>
      </c>
      <c r="F286" s="14" t="s">
        <v>79</v>
      </c>
      <c r="G286" s="15"/>
    </row>
    <row r="287" spans="1:7" x14ac:dyDescent="0.25">
      <c r="A287" s="28">
        <v>46024</v>
      </c>
      <c r="B287" s="14" t="s">
        <v>59</v>
      </c>
      <c r="C287" s="14">
        <v>1000</v>
      </c>
      <c r="D287" s="14">
        <v>16000</v>
      </c>
      <c r="F287" s="14" t="s">
        <v>79</v>
      </c>
      <c r="G287" s="15"/>
    </row>
    <row r="288" spans="1:7" x14ac:dyDescent="0.25">
      <c r="A288" s="28">
        <v>46024</v>
      </c>
      <c r="B288" s="14" t="s">
        <v>81</v>
      </c>
      <c r="C288" s="14">
        <v>1000</v>
      </c>
      <c r="D288" s="14">
        <v>16000</v>
      </c>
      <c r="F288" s="14" t="s">
        <v>79</v>
      </c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B18" sqref="B18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81</v>
      </c>
      <c r="B17" t="s">
        <v>82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L22" sqref="L22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7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7:18" x14ac:dyDescent="0.25">
      <c r="G18" s="19" t="s">
        <v>17</v>
      </c>
      <c r="H18" s="24">
        <v>1500</v>
      </c>
      <c r="I18" s="25">
        <v>0.1875</v>
      </c>
    </row>
    <row r="19" spans="7:18" x14ac:dyDescent="0.25">
      <c r="G19" s="20" t="s">
        <v>19</v>
      </c>
      <c r="H19" s="22">
        <v>500</v>
      </c>
      <c r="I19" s="23">
        <v>6.25E-2</v>
      </c>
    </row>
    <row r="20" spans="7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8" x14ac:dyDescent="0.25">
      <c r="L24">
        <v>60.25</v>
      </c>
    </row>
    <row r="25" spans="7:18" x14ac:dyDescent="0.25">
      <c r="L25">
        <v>180.75</v>
      </c>
    </row>
    <row r="26" spans="7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8" x14ac:dyDescent="0.25">
      <c r="L27">
        <v>180.75</v>
      </c>
    </row>
    <row r="28" spans="7:18" x14ac:dyDescent="0.25">
      <c r="L28">
        <v>241</v>
      </c>
    </row>
    <row r="29" spans="7:18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2026-01-01T10:11:01Z</dcterms:modified>
</cp:coreProperties>
</file>