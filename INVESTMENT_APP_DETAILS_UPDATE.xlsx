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 firstSheet="3" activeTab="6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  <sheet name="Current_System" sheetId="8" r:id="rId7"/>
  </sheets>
  <calcPr calcId="144525"/>
</workbook>
</file>

<file path=xl/calcChain.xml><?xml version="1.0" encoding="utf-8"?>
<calcChain xmlns="http://schemas.openxmlformats.org/spreadsheetml/2006/main">
  <c r="K270" i="1" l="1"/>
  <c r="K269" i="1"/>
  <c r="K268" i="1"/>
  <c r="K267" i="1"/>
  <c r="K266" i="1"/>
  <c r="K265" i="1"/>
  <c r="K264" i="1"/>
  <c r="K263" i="1"/>
  <c r="J270" i="1"/>
  <c r="J269" i="1"/>
  <c r="J268" i="1"/>
  <c r="J267" i="1"/>
  <c r="J266" i="1"/>
  <c r="J265" i="1"/>
  <c r="J264" i="1"/>
  <c r="J263" i="1"/>
  <c r="E10" i="2"/>
  <c r="F17" i="7"/>
  <c r="L14" i="6"/>
  <c r="L13" i="6"/>
  <c r="R17" i="6"/>
  <c r="K261" i="1" l="1"/>
  <c r="K260" i="1"/>
  <c r="K259" i="1"/>
  <c r="K258" i="1"/>
  <c r="K257" i="1"/>
  <c r="K256" i="1"/>
  <c r="K255" i="1"/>
  <c r="K254" i="1"/>
  <c r="J261" i="1"/>
  <c r="J260" i="1"/>
  <c r="J259" i="1"/>
  <c r="J258" i="1"/>
  <c r="J257" i="1"/>
  <c r="J256" i="1"/>
  <c r="J255" i="1"/>
  <c r="J254" i="1"/>
  <c r="J252" i="1" l="1"/>
  <c r="K252" i="1" s="1"/>
  <c r="J251" i="1"/>
  <c r="K251" i="1" s="1"/>
  <c r="J250" i="1"/>
  <c r="K250" i="1" s="1"/>
  <c r="J249" i="1"/>
  <c r="K249" i="1" s="1"/>
  <c r="J248" i="1"/>
  <c r="K248" i="1" s="1"/>
  <c r="J247" i="1"/>
  <c r="K247" i="1" s="1"/>
  <c r="J246" i="1"/>
  <c r="K246" i="1" s="1"/>
  <c r="J245" i="1"/>
  <c r="K245" i="1" s="1"/>
  <c r="J243" i="1" l="1"/>
  <c r="K243" i="1" s="1"/>
  <c r="K242" i="1"/>
  <c r="J242" i="1"/>
  <c r="K241" i="1"/>
  <c r="J241" i="1"/>
  <c r="J240" i="1"/>
  <c r="K240" i="1" s="1"/>
  <c r="J239" i="1"/>
  <c r="K239" i="1" s="1"/>
  <c r="J238" i="1"/>
  <c r="K238" i="1" s="1"/>
  <c r="K237" i="1"/>
  <c r="J237" i="1"/>
  <c r="K236" i="1"/>
  <c r="J236" i="1"/>
  <c r="J234" i="1" l="1"/>
  <c r="K234" i="1" s="1"/>
  <c r="J233" i="1"/>
  <c r="K233" i="1" s="1"/>
  <c r="J232" i="1"/>
  <c r="K232" i="1" s="1"/>
  <c r="J231" i="1"/>
  <c r="K231" i="1" s="1"/>
  <c r="J230" i="1"/>
  <c r="K230" i="1" s="1"/>
  <c r="J229" i="1"/>
  <c r="K229" i="1" s="1"/>
  <c r="J228" i="1"/>
  <c r="K228" i="1" s="1"/>
  <c r="J227" i="1"/>
  <c r="K227" i="1" s="1"/>
  <c r="J225" i="1" l="1"/>
  <c r="K225" i="1" s="1"/>
  <c r="J224" i="1"/>
  <c r="K224" i="1" s="1"/>
  <c r="J223" i="1"/>
  <c r="K223" i="1" s="1"/>
  <c r="J222" i="1"/>
  <c r="K222" i="1" s="1"/>
  <c r="J221" i="1"/>
  <c r="K221" i="1" s="1"/>
  <c r="J220" i="1"/>
  <c r="K220" i="1" s="1"/>
  <c r="J219" i="1"/>
  <c r="K219" i="1" s="1"/>
  <c r="J218" i="1"/>
  <c r="K218" i="1" s="1"/>
  <c r="J216" i="1" l="1"/>
  <c r="K216" i="1" s="1"/>
  <c r="J215" i="1"/>
  <c r="K215" i="1" s="1"/>
  <c r="J214" i="1"/>
  <c r="K214" i="1" s="1"/>
  <c r="J213" i="1"/>
  <c r="K213" i="1" s="1"/>
  <c r="J212" i="1"/>
  <c r="K212" i="1" s="1"/>
  <c r="J211" i="1"/>
  <c r="K211" i="1" s="1"/>
  <c r="J210" i="1"/>
  <c r="K210" i="1" s="1"/>
  <c r="J209" i="1"/>
  <c r="K209" i="1" s="1"/>
  <c r="J207" i="1" l="1"/>
  <c r="K207" i="1" s="1"/>
  <c r="J206" i="1"/>
  <c r="K206" i="1" s="1"/>
  <c r="J205" i="1"/>
  <c r="K205" i="1" s="1"/>
  <c r="J204" i="1"/>
  <c r="K204" i="1" s="1"/>
  <c r="J203" i="1"/>
  <c r="K203" i="1" s="1"/>
  <c r="J202" i="1"/>
  <c r="K202" i="1" s="1"/>
  <c r="J201" i="1"/>
  <c r="K201" i="1" s="1"/>
  <c r="J200" i="1"/>
  <c r="K200" i="1" s="1"/>
  <c r="J198" i="1" l="1"/>
  <c r="K198" i="1" s="1"/>
  <c r="K197" i="1"/>
  <c r="J197" i="1"/>
  <c r="K196" i="1"/>
  <c r="J196" i="1"/>
  <c r="K195" i="1"/>
  <c r="J195" i="1"/>
  <c r="K194" i="1"/>
  <c r="J194" i="1"/>
  <c r="J193" i="1"/>
  <c r="K193" i="1" s="1"/>
  <c r="J192" i="1"/>
  <c r="K192" i="1" s="1"/>
  <c r="K191" i="1"/>
  <c r="J191" i="1"/>
  <c r="J189" i="1"/>
  <c r="K189" i="1" s="1"/>
  <c r="J188" i="1"/>
  <c r="K188" i="1" s="1"/>
  <c r="J187" i="1"/>
  <c r="K187" i="1" s="1"/>
  <c r="J186" i="1"/>
  <c r="K186" i="1" s="1"/>
  <c r="J185" i="1"/>
  <c r="K185" i="1" s="1"/>
  <c r="J184" i="1"/>
  <c r="K184" i="1" s="1"/>
  <c r="J183" i="1"/>
  <c r="K183" i="1" s="1"/>
  <c r="J182" i="1"/>
  <c r="K182" i="1" s="1"/>
  <c r="J180" i="1" l="1"/>
  <c r="K180" i="1" s="1"/>
  <c r="J179" i="1"/>
  <c r="K179" i="1" s="1"/>
  <c r="J178" i="1"/>
  <c r="K178" i="1" s="1"/>
  <c r="J177" i="1"/>
  <c r="K177" i="1" s="1"/>
  <c r="J176" i="1"/>
  <c r="K176" i="1" s="1"/>
  <c r="J175" i="1"/>
  <c r="K175" i="1" s="1"/>
  <c r="J174" i="1"/>
  <c r="K174" i="1" s="1"/>
  <c r="J173" i="1"/>
  <c r="K173" i="1" s="1"/>
  <c r="J165" i="1" l="1"/>
  <c r="K165" i="1" s="1"/>
  <c r="J166" i="1"/>
  <c r="K166" i="1" s="1"/>
  <c r="J167" i="1"/>
  <c r="K167" i="1" s="1"/>
  <c r="J168" i="1"/>
  <c r="K168" i="1" s="1"/>
  <c r="J169" i="1"/>
  <c r="K169" i="1" s="1"/>
  <c r="J170" i="1"/>
  <c r="K170" i="1" s="1"/>
  <c r="J171" i="1"/>
  <c r="K171" i="1" s="1"/>
  <c r="J164" i="1"/>
  <c r="K164" i="1" s="1"/>
  <c r="J156" i="1" l="1"/>
  <c r="K156" i="1" s="1"/>
  <c r="J157" i="1"/>
  <c r="K157" i="1" s="1"/>
  <c r="J158" i="1"/>
  <c r="K158" i="1"/>
  <c r="J159" i="1"/>
  <c r="K159" i="1"/>
  <c r="J160" i="1"/>
  <c r="K160" i="1"/>
  <c r="J161" i="1"/>
  <c r="K161" i="1"/>
  <c r="J162" i="1"/>
  <c r="K162" i="1"/>
  <c r="J155" i="1"/>
  <c r="K155" i="1" s="1"/>
  <c r="J147" i="1" l="1"/>
  <c r="K147" i="1" s="1"/>
  <c r="J148" i="1"/>
  <c r="K148" i="1" s="1"/>
  <c r="J149" i="1"/>
  <c r="K149" i="1"/>
  <c r="J150" i="1"/>
  <c r="K150" i="1"/>
  <c r="J151" i="1"/>
  <c r="K151" i="1"/>
  <c r="J152" i="1"/>
  <c r="K152" i="1"/>
  <c r="J153" i="1"/>
  <c r="K153" i="1"/>
  <c r="J146" i="1"/>
  <c r="K146" i="1" s="1"/>
  <c r="J144" i="1" l="1"/>
  <c r="K144" i="1" s="1"/>
  <c r="J143" i="1"/>
  <c r="K143" i="1" s="1"/>
  <c r="J142" i="1"/>
  <c r="K142" i="1" s="1"/>
  <c r="J141" i="1"/>
  <c r="K141" i="1" s="1"/>
  <c r="J140" i="1"/>
  <c r="K140" i="1" s="1"/>
  <c r="J139" i="1"/>
  <c r="K139" i="1" s="1"/>
  <c r="J138" i="1"/>
  <c r="K138" i="1" s="1"/>
  <c r="J137" i="1"/>
  <c r="K137" i="1" s="1"/>
  <c r="J129" i="1" l="1"/>
  <c r="K129" i="1" s="1"/>
  <c r="J130" i="1"/>
  <c r="K130" i="1" s="1"/>
  <c r="J131" i="1"/>
  <c r="K131" i="1" s="1"/>
  <c r="J132" i="1"/>
  <c r="K132" i="1" s="1"/>
  <c r="J133" i="1"/>
  <c r="K133" i="1" s="1"/>
  <c r="J134" i="1"/>
  <c r="K134" i="1" s="1"/>
  <c r="J135" i="1"/>
  <c r="K135" i="1" s="1"/>
  <c r="J128" i="1"/>
  <c r="K128" i="1" s="1"/>
  <c r="J120" i="1" l="1"/>
  <c r="K120" i="1" s="1"/>
  <c r="J121" i="1"/>
  <c r="K121" i="1" s="1"/>
  <c r="J122" i="1"/>
  <c r="K122" i="1" s="1"/>
  <c r="J123" i="1"/>
  <c r="K123" i="1" s="1"/>
  <c r="J124" i="1"/>
  <c r="K124" i="1" s="1"/>
  <c r="J125" i="1"/>
  <c r="K125" i="1" s="1"/>
  <c r="J126" i="1"/>
  <c r="K126" i="1" s="1"/>
  <c r="K119" i="1"/>
  <c r="J119" i="1"/>
  <c r="E2" i="2" l="1"/>
  <c r="E3" i="2"/>
  <c r="E4" i="2"/>
  <c r="E5" i="2"/>
  <c r="E6" i="2"/>
  <c r="E7" i="2"/>
  <c r="E8" i="2"/>
  <c r="E9" i="2"/>
  <c r="J111" i="1" l="1"/>
  <c r="K111" i="1" s="1"/>
  <c r="J112" i="1"/>
  <c r="K112" i="1" s="1"/>
  <c r="J113" i="1"/>
  <c r="K113" i="1" s="1"/>
  <c r="J114" i="1"/>
  <c r="K114" i="1" s="1"/>
  <c r="J115" i="1"/>
  <c r="K115" i="1" s="1"/>
  <c r="J116" i="1"/>
  <c r="K116" i="1" s="1"/>
  <c r="J117" i="1"/>
  <c r="K117" i="1" s="1"/>
  <c r="J110" i="1"/>
  <c r="K110" i="1" s="1"/>
  <c r="J102" i="1" l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1" i="1"/>
  <c r="K101" i="1" s="1"/>
  <c r="J93" i="1" l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92" i="1"/>
  <c r="K92" i="1" s="1"/>
  <c r="J84" i="1" l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83" i="1"/>
  <c r="K83" i="1" s="1"/>
  <c r="F16" i="7" l="1"/>
  <c r="F9" i="7"/>
  <c r="F10" i="7"/>
  <c r="F11" i="7"/>
  <c r="F12" i="7"/>
  <c r="F13" i="7"/>
  <c r="F14" i="7"/>
  <c r="F15" i="7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75" i="1"/>
  <c r="K75" i="1" s="1"/>
  <c r="P26" i="6"/>
  <c r="P20" i="6" l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1" i="1"/>
  <c r="K51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67" i="1"/>
  <c r="K67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59" i="1"/>
  <c r="K59" i="1" s="1"/>
  <c r="J49" i="1" l="1"/>
  <c r="K49" i="1" s="1"/>
  <c r="J48" i="1"/>
  <c r="K48" i="1" s="1"/>
  <c r="J47" i="1"/>
  <c r="K47" i="1" s="1"/>
  <c r="J46" i="1"/>
  <c r="K46" i="1" s="1"/>
  <c r="J45" i="1"/>
  <c r="K45" i="1" s="1"/>
  <c r="J44" i="1"/>
  <c r="K44" i="1" s="1"/>
  <c r="J43" i="1"/>
  <c r="K43" i="1" s="1"/>
  <c r="J35" i="1" l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F2" i="7" l="1"/>
  <c r="F3" i="7"/>
  <c r="F4" i="7"/>
  <c r="F5" i="7"/>
  <c r="F6" i="7"/>
  <c r="F7" i="7"/>
  <c r="F8" i="7"/>
  <c r="J28" i="1" l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22" i="1" l="1"/>
  <c r="K22" i="1" s="1"/>
  <c r="J23" i="1"/>
  <c r="K23" i="1" s="1"/>
  <c r="J24" i="1"/>
  <c r="K24" i="1" s="1"/>
  <c r="J25" i="1"/>
  <c r="K25" i="1" s="1"/>
  <c r="J26" i="1"/>
  <c r="K26" i="1" s="1"/>
  <c r="J21" i="1" l="1"/>
  <c r="K21" i="1" s="1"/>
  <c r="G4" i="5" l="1"/>
  <c r="G5" i="5" s="1"/>
  <c r="J14" i="1" l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K3" i="1"/>
  <c r="K4" i="1"/>
  <c r="K2" i="1"/>
  <c r="J13" i="1"/>
  <c r="K13" i="1" s="1"/>
  <c r="J8" i="1" l="1"/>
  <c r="K8" i="1" s="1"/>
  <c r="J9" i="1"/>
  <c r="K9" i="1" s="1"/>
  <c r="J10" i="1"/>
  <c r="K10" i="1" s="1"/>
  <c r="J11" i="1"/>
  <c r="K11" i="1" s="1"/>
  <c r="J12" i="1"/>
  <c r="K12" i="1" s="1"/>
  <c r="J6" i="1" l="1"/>
  <c r="K6" i="1" s="1"/>
  <c r="J7" i="1"/>
  <c r="K7" i="1" s="1"/>
  <c r="J5" i="1"/>
  <c r="K5" i="1" s="1"/>
</calcChain>
</file>

<file path=xl/sharedStrings.xml><?xml version="1.0" encoding="utf-8"?>
<sst xmlns="http://schemas.openxmlformats.org/spreadsheetml/2006/main" count="1344" uniqueCount="87">
  <si>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</si>
  <si>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</si>
  <si>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</si>
  <si>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</si>
  <si>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</si>
  <si>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</si>
  <si>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</si>
  <si>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</si>
  <si>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</si>
  <si>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</si>
  <si>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</si>
  <si>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</si>
  <si>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</si>
  <si>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</si>
  <si>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</si>
  <si>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</si>
  <si>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</si>
  <si>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</si>
  <si>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</si>
  <si>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</si>
  <si>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</si>
  <si>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</si>
  <si>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</si>
  <si>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</si>
  <si>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</si>
  <si>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</si>
  <si>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</si>
  <si>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</si>
  <si>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</si>
  <si>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</si>
  <si>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</si>
  <si>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</si>
  <si>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</si>
  <si>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</si>
  <si>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</si>
  <si>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</si>
  <si>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</si>
  <si>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</si>
  <si>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</si>
  <si>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</si>
  <si>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</si>
  <si>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</si>
  <si>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</si>
  <si>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</si>
  <si>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</si>
  <si>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</si>
  <si>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</si>
  <si>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</si>
  <si>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</si>
  <si>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</si>
  <si>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</si>
  <si>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</si>
  <si>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</si>
  <si>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</si>
  <si>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</si>
  <si>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</si>
  <si>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</si>
  <si>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</si>
  <si>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</si>
  <si>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</si>
  <si>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</si>
  <si>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VPS Charges For 10th Dec'2025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</si>
  <si>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</si>
  <si>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</si>
  <si>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</si>
  <si>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</si>
  <si>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</si>
  <si>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</si>
  <si>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</si>
  <si>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</si>
  <si>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</si>
  <si>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</si>
  <si>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</si>
  <si>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</si>
  <si>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</si>
  <si>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</si>
  <si>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</si>
  <si>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</si>
  <si>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</si>
  <si>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</si>
  <si>
    <t>T013ADD1000</t>
  </si>
  <si>
    <t>U009</t>
  </si>
  <si>
    <t>VPS Charges For 10th Dec'2025_for 10 days</t>
  </si>
  <si>
    <t>Ajitesh Behara</t>
  </si>
  <si>
    <t>Grp Mem Supporting Me</t>
  </si>
  <si>
    <t>T014ADD1000</t>
  </si>
  <si>
    <t>Current System Is Running 11 Stages With 2 Loss Auto-Invest Activation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</si>
</sst>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</cellXfs>
  <cellStyles count="1">
    <cellStyle name="Normal" xfId="0" builtinId="0"/>
  </cellStyles>
  <dxfs count="41"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1:L5641" totalsRowCount="1" headerRowDxfId="40" dataDxfId="39" totalsRowDxfId="38">
  <autoFilter ref="A1:L5640"/>
  <tableColumns count="12">
    <tableColumn id="9" name="Date" dataDxfId="37" totalsRowDxfId="11"/>
    <tableColumn id="13" name="UserID" dataDxfId="36" totalsRowDxfId="10"/>
    <tableColumn id="8" name="Name" dataDxfId="35" totalsRowDxfId="9"/>
    <tableColumn id="15" name="User_Invested_Amount" dataDxfId="34" totalsRowDxfId="8"/>
    <tableColumn id="17" name="Transaction_ID" dataDxfId="33" totalsRowDxfId="7"/>
    <tableColumn id="16" name="Transaction_Date" dataDxfId="32" totalsRowDxfId="6"/>
    <tableColumn id="3" name="User_Invest_Amount_As_On_Date" dataDxfId="31" totalsRowDxfId="5"/>
    <tableColumn id="6" name="Company_Total_Investment_As_On_Date" dataDxfId="30" totalsRowDxfId="4"/>
    <tableColumn id="10" name="Total_Profit" dataDxfId="29" totalsRowDxfId="3"/>
    <tableColumn id="11" name="Profit_%" dataDxfId="28" totalsRowDxfId="2"/>
    <tableColumn id="7" name="Profit" dataDxfId="27" totalsRowDxfId="1"/>
    <tableColumn id="4" name="Payment_Status" dataDxfId="26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10" totalsRowShown="0">
  <autoFilter ref="A1:F10"/>
  <tableColumns count="6">
    <tableColumn id="1" name="UserID"/>
    <tableColumn id="2" name="Contact_Name"/>
    <tableColumn id="9" name="Name"/>
    <tableColumn id="3" name="Total_Invested_Amount"/>
    <tableColumn id="6" name="Total Profit Earned" dataDxfId="25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G602" totalsRowShown="0" headerRowDxfId="24" dataDxfId="22" headerRowBorderDxfId="23" tableBorderDxfId="21" totalsRowBorderDxfId="20">
  <autoFilter ref="A1:G602"/>
  <tableColumns count="7">
    <tableColumn id="1" name="Date" dataDxfId="19"/>
    <tableColumn id="2" name="UserID" dataDxfId="18"/>
    <tableColumn id="3" name="Invest_Amount" dataDxfId="17"/>
    <tableColumn id="6" name="Company_Total_Invest" dataDxfId="16"/>
    <tableColumn id="4" name="Profit" dataDxfId="15"/>
    <tableColumn id="5" name="Payment" dataDxfId="14"/>
    <tableColumn id="7" name="Total_Profit" dataDxfId="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17" totalsRowShown="0">
  <autoFilter ref="A1:F17"/>
  <tableColumns count="6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2">
      <calculatedColumnFormula>Table5[[#This Row],[Charge_Per_Head]]-Table5[[#This Row],[Paid_Amt]]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5" Type="http://schemas.openxmlformats.org/officeDocument/2006/relationships/table" Target="../tables/table2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41"/>
  <sheetViews>
    <sheetView topLeftCell="D253" workbookViewId="0">
      <selection activeCell="K263" sqref="K263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21.7109375" style="14" customWidth="1"/>
    <col min="5" max="5" width="21.140625" style="14" customWidth="1"/>
    <col min="6" max="6" width="23.710937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13.140625" style="15" customWidth="1"/>
    <col min="12" max="12" width="20" style="14" bestFit="1" customWidth="1"/>
    <col min="13" max="16384" width="9.140625" style="14"/>
  </cols>
  <sheetData>
    <row r="1" spans="1:12" x14ac:dyDescent="0.25">
      <c r="A1" s="1" t="s">
        <v>2</v>
      </c>
      <c r="B1" s="1" t="s">
        <v>0</v>
      </c>
      <c r="C1" s="1" t="s">
        <v>1</v>
      </c>
      <c r="D1" s="1" t="s">
        <v>63</v>
      </c>
      <c r="E1" s="1" t="s">
        <v>9</v>
      </c>
      <c r="F1" s="1" t="s">
        <v>11</v>
      </c>
      <c r="G1" s="1" t="s">
        <v>62</v>
      </c>
      <c r="H1" s="1" t="s">
        <v>64</v>
      </c>
      <c r="I1" s="1" t="s">
        <v>5</v>
      </c>
      <c r="J1" s="2" t="s">
        <v>6</v>
      </c>
      <c r="K1" s="2" t="s">
        <v>3</v>
      </c>
      <c r="L1" s="1" t="s">
        <v>16</v>
      </c>
    </row>
    <row r="2" spans="1:12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</row>
    <row r="3" spans="1:12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</row>
    <row r="4" spans="1:12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</row>
    <row r="5" spans="1:12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</row>
    <row r="6" spans="1:12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</row>
    <row r="7" spans="1:12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</row>
    <row r="8" spans="1:12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</row>
    <row r="9" spans="1:12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</row>
    <row r="10" spans="1:12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</row>
    <row r="11" spans="1:12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</row>
    <row r="12" spans="1:12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</row>
    <row r="13" spans="1:12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</row>
    <row r="14" spans="1:12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</row>
    <row r="15" spans="1:12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</row>
    <row r="16" spans="1:12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</row>
    <row r="17" spans="1:12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</row>
    <row r="18" spans="1:12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</row>
    <row r="19" spans="1:12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</row>
    <row r="21" spans="1:12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66</v>
      </c>
      <c r="F21" s="14" t="s">
        <v>67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</row>
    <row r="22" spans="1:12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</row>
    <row r="23" spans="1:12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</row>
    <row r="24" spans="1:12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</row>
    <row r="25" spans="1:12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</row>
    <row r="26" spans="1:12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</row>
    <row r="28" spans="1:12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</row>
    <row r="29" spans="1:12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</row>
    <row r="30" spans="1:12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</row>
    <row r="31" spans="1:12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</row>
    <row r="32" spans="1:12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</row>
    <row r="33" spans="1:12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</row>
    <row r="35" spans="1:12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</row>
    <row r="36" spans="1:12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</row>
    <row r="37" spans="1:12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</row>
    <row r="38" spans="1:12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</row>
    <row r="39" spans="1:12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</row>
    <row r="40" spans="1:12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</row>
    <row r="41" spans="1:12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68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</row>
    <row r="43" spans="1:12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</row>
    <row r="44" spans="1:12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</row>
    <row r="45" spans="1:12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</row>
    <row r="46" spans="1:12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</row>
    <row r="47" spans="1:12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</row>
    <row r="48" spans="1:12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</row>
    <row r="49" spans="1:12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</row>
    <row r="51" spans="1:12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</row>
    <row r="52" spans="1:12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</row>
    <row r="53" spans="1:12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</row>
    <row r="54" spans="1:12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</row>
    <row r="55" spans="1:12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</row>
    <row r="56" spans="1:12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</row>
    <row r="57" spans="1:12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</row>
    <row r="59" spans="1:12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</row>
    <row r="60" spans="1:12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</row>
    <row r="61" spans="1:12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</row>
    <row r="62" spans="1:12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</row>
    <row r="63" spans="1:12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</row>
    <row r="64" spans="1:12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</row>
    <row r="65" spans="1:12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</row>
    <row r="66" spans="1:12" x14ac:dyDescent="0.25">
      <c r="I66" s="15"/>
    </row>
    <row r="67" spans="1:12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</row>
    <row r="68" spans="1:12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</row>
    <row r="69" spans="1:12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</row>
    <row r="70" spans="1:12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</row>
    <row r="71" spans="1:12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</row>
    <row r="72" spans="1:12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</row>
    <row r="73" spans="1:12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</row>
    <row r="74" spans="1:12" x14ac:dyDescent="0.25">
      <c r="I74" s="15"/>
    </row>
    <row r="75" spans="1:12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</row>
    <row r="76" spans="1:12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</row>
    <row r="77" spans="1:12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</row>
    <row r="78" spans="1:12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</row>
    <row r="79" spans="1:12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</row>
    <row r="80" spans="1:12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</row>
    <row r="81" spans="1:12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</row>
    <row r="82" spans="1:12" x14ac:dyDescent="0.25">
      <c r="I82" s="15"/>
    </row>
    <row r="83" spans="1:12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</row>
    <row r="84" spans="1:12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</row>
    <row r="85" spans="1:12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</row>
    <row r="86" spans="1:12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</row>
    <row r="87" spans="1:12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</row>
    <row r="88" spans="1:12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</row>
    <row r="89" spans="1:12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</row>
    <row r="90" spans="1:12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69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</row>
    <row r="91" spans="1:12" x14ac:dyDescent="0.25">
      <c r="I91" s="15"/>
    </row>
    <row r="92" spans="1:12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</row>
    <row r="93" spans="1:12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</row>
    <row r="94" spans="1:12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</row>
    <row r="95" spans="1:12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</row>
    <row r="96" spans="1:12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</row>
    <row r="97" spans="1:12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</row>
    <row r="98" spans="1:12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</row>
    <row r="99" spans="1:12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</row>
    <row r="100" spans="1:12" x14ac:dyDescent="0.25">
      <c r="I100" s="15"/>
    </row>
    <row r="101" spans="1:12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</row>
    <row r="102" spans="1:12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</row>
    <row r="103" spans="1:12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</row>
    <row r="104" spans="1:12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</row>
    <row r="105" spans="1:12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</row>
    <row r="106" spans="1:12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</row>
    <row r="107" spans="1:12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</row>
    <row r="108" spans="1:12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</row>
    <row r="109" spans="1:12" x14ac:dyDescent="0.25">
      <c r="I109" s="15"/>
    </row>
    <row r="110" spans="1:12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70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</row>
    <row r="111" spans="1:12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</row>
    <row r="112" spans="1:12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</row>
    <row r="113" spans="1:12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</row>
    <row r="114" spans="1:12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71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</row>
    <row r="115" spans="1:12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</row>
    <row r="116" spans="1:12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</row>
    <row r="117" spans="1:12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</row>
    <row r="118" spans="1:12" x14ac:dyDescent="0.25">
      <c r="I118" s="15"/>
    </row>
    <row r="119" spans="1:12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</row>
    <row r="120" spans="1:12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</row>
    <row r="121" spans="1:12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</row>
    <row r="122" spans="1:12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</row>
    <row r="123" spans="1:12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</row>
    <row r="124" spans="1:12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</row>
    <row r="125" spans="1:12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</row>
    <row r="126" spans="1:12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</row>
    <row r="127" spans="1:12" x14ac:dyDescent="0.25">
      <c r="I127" s="15"/>
    </row>
    <row r="128" spans="1:12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</row>
    <row r="129" spans="1:12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</row>
    <row r="130" spans="1:12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</row>
    <row r="131" spans="1:12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</row>
    <row r="132" spans="1:12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</row>
    <row r="133" spans="1:12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</row>
    <row r="134" spans="1:12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</row>
    <row r="135" spans="1:12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</row>
    <row r="136" spans="1:12" x14ac:dyDescent="0.25">
      <c r="I136" s="15"/>
    </row>
    <row r="137" spans="1:12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</row>
    <row r="138" spans="1:12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</row>
    <row r="139" spans="1:12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</row>
    <row r="140" spans="1:12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</row>
    <row r="141" spans="1:12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</row>
    <row r="142" spans="1:12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</row>
    <row r="143" spans="1:12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</row>
    <row r="144" spans="1:12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</row>
    <row r="145" spans="1:12" x14ac:dyDescent="0.25">
      <c r="I145" s="15"/>
    </row>
    <row r="146" spans="1:12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</row>
    <row r="147" spans="1:12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</row>
    <row r="148" spans="1:12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</row>
    <row r="149" spans="1:12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</row>
    <row r="150" spans="1:12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</row>
    <row r="151" spans="1:12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</row>
    <row r="152" spans="1:12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</row>
    <row r="153" spans="1:12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</row>
    <row r="154" spans="1:12" x14ac:dyDescent="0.25">
      <c r="I154" s="15"/>
    </row>
    <row r="155" spans="1:12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</row>
    <row r="156" spans="1:12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</row>
    <row r="157" spans="1:12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</row>
    <row r="158" spans="1:12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</row>
    <row r="159" spans="1:12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</row>
    <row r="160" spans="1:12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</row>
    <row r="161" spans="1:12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</row>
    <row r="162" spans="1:12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</row>
    <row r="163" spans="1:12" x14ac:dyDescent="0.25">
      <c r="I163" s="15"/>
    </row>
    <row r="164" spans="1:12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</row>
    <row r="165" spans="1:12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</row>
    <row r="166" spans="1:12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</row>
    <row r="167" spans="1:12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</row>
    <row r="168" spans="1:12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</row>
    <row r="169" spans="1:12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</row>
    <row r="170" spans="1:12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</row>
    <row r="171" spans="1:12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</row>
    <row r="172" spans="1:12" x14ac:dyDescent="0.25">
      <c r="I172" s="15"/>
    </row>
    <row r="173" spans="1:12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</row>
    <row r="174" spans="1:12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</row>
    <row r="175" spans="1:12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</row>
    <row r="176" spans="1:12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</row>
    <row r="177" spans="1:12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</row>
    <row r="178" spans="1:12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</row>
    <row r="179" spans="1:12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</row>
    <row r="180" spans="1:12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</row>
    <row r="181" spans="1:12" x14ac:dyDescent="0.25">
      <c r="I181" s="15"/>
    </row>
    <row r="182" spans="1:12" x14ac:dyDescent="0.25">
      <c r="A182" s="28">
        <v>46012</v>
      </c>
      <c r="B182" s="14" t="s">
        <v>7</v>
      </c>
      <c r="C182" s="14" t="s">
        <v>8</v>
      </c>
      <c r="G182" s="14">
        <v>2500</v>
      </c>
      <c r="H182" s="14">
        <v>12000</v>
      </c>
      <c r="I182" s="15">
        <v>402</v>
      </c>
      <c r="J182" s="15">
        <f>Table1[[#This Row],[User_Invest_Amount_As_On_Date]]/Table1[[#This Row],[Company_Total_Investment_As_On_Date]]</f>
        <v>0.20833333333333334</v>
      </c>
      <c r="K182" s="15">
        <f>Table1[[#This Row],[Total_Profit]]*Table1[[#This Row],[Profit_%]]</f>
        <v>83.75</v>
      </c>
      <c r="L182" s="14" t="s">
        <v>39</v>
      </c>
    </row>
    <row r="183" spans="1:12" x14ac:dyDescent="0.25">
      <c r="A183" s="28">
        <v>46012</v>
      </c>
      <c r="B183" s="14" t="s">
        <v>12</v>
      </c>
      <c r="C183" s="14" t="s">
        <v>13</v>
      </c>
      <c r="G183" s="14">
        <v>1500</v>
      </c>
      <c r="H183" s="14">
        <v>12000</v>
      </c>
      <c r="I183" s="15">
        <v>402</v>
      </c>
      <c r="J183" s="15">
        <f>Table1[[#This Row],[User_Invest_Amount_As_On_Date]]/Table1[[#This Row],[Company_Total_Investment_As_On_Date]]</f>
        <v>0.125</v>
      </c>
      <c r="K183" s="15">
        <f>Table1[[#This Row],[Total_Profit]]*Table1[[#This Row],[Profit_%]]</f>
        <v>50.25</v>
      </c>
      <c r="L183" s="14" t="s">
        <v>39</v>
      </c>
    </row>
    <row r="184" spans="1:12" x14ac:dyDescent="0.25">
      <c r="A184" s="28">
        <v>46012</v>
      </c>
      <c r="B184" s="14" t="s">
        <v>14</v>
      </c>
      <c r="C184" s="14" t="s">
        <v>15</v>
      </c>
      <c r="G184" s="14">
        <v>500</v>
      </c>
      <c r="H184" s="14">
        <v>12000</v>
      </c>
      <c r="I184" s="15">
        <v>402</v>
      </c>
      <c r="J184" s="15">
        <f>Table1[[#This Row],[User_Invest_Amount_As_On_Date]]/Table1[[#This Row],[Company_Total_Investment_As_On_Date]]</f>
        <v>4.1666666666666664E-2</v>
      </c>
      <c r="K184" s="15">
        <f>Table1[[#This Row],[Total_Profit]]*Table1[[#This Row],[Profit_%]]</f>
        <v>16.75</v>
      </c>
      <c r="L184" s="14" t="s">
        <v>39</v>
      </c>
    </row>
    <row r="185" spans="1:12" x14ac:dyDescent="0.25">
      <c r="A185" s="28">
        <v>46012</v>
      </c>
      <c r="B185" s="14" t="s">
        <v>17</v>
      </c>
      <c r="C185" s="14" t="s">
        <v>18</v>
      </c>
      <c r="G185" s="14">
        <v>1500</v>
      </c>
      <c r="H185" s="14">
        <v>12000</v>
      </c>
      <c r="I185" s="15">
        <v>402</v>
      </c>
      <c r="J185" s="15">
        <f>Table1[[#This Row],[User_Invest_Amount_As_On_Date]]/Table1[[#This Row],[Company_Total_Investment_As_On_Date]]</f>
        <v>0.125</v>
      </c>
      <c r="K185" s="15">
        <f>Table1[[#This Row],[Total_Profit]]*Table1[[#This Row],[Profit_%]]</f>
        <v>50.25</v>
      </c>
      <c r="L185" s="14" t="s">
        <v>39</v>
      </c>
    </row>
    <row r="186" spans="1:12" x14ac:dyDescent="0.25">
      <c r="A186" s="28">
        <v>46012</v>
      </c>
      <c r="B186" s="14" t="s">
        <v>19</v>
      </c>
      <c r="C186" s="14" t="s">
        <v>20</v>
      </c>
      <c r="G186" s="14">
        <v>1000</v>
      </c>
      <c r="H186" s="14">
        <v>12000</v>
      </c>
      <c r="I186" s="15">
        <v>402</v>
      </c>
      <c r="J186" s="15">
        <f>Table1[[#This Row],[User_Invest_Amount_As_On_Date]]/Table1[[#This Row],[Company_Total_Investment_As_On_Date]]</f>
        <v>8.3333333333333329E-2</v>
      </c>
      <c r="K186" s="15">
        <f>Table1[[#This Row],[Total_Profit]]*Table1[[#This Row],[Profit_%]]</f>
        <v>33.5</v>
      </c>
      <c r="L186" s="14" t="s">
        <v>39</v>
      </c>
    </row>
    <row r="187" spans="1:12" x14ac:dyDescent="0.25">
      <c r="A187" s="28">
        <v>46012</v>
      </c>
      <c r="B187" s="14" t="s">
        <v>21</v>
      </c>
      <c r="C187" s="14" t="s">
        <v>22</v>
      </c>
      <c r="G187" s="14">
        <v>2000</v>
      </c>
      <c r="H187" s="14">
        <v>12000</v>
      </c>
      <c r="I187" s="15">
        <v>402</v>
      </c>
      <c r="J187" s="15">
        <f>Table1[[#This Row],[User_Invest_Amount_As_On_Date]]/Table1[[#This Row],[Company_Total_Investment_As_On_Date]]</f>
        <v>0.16666666666666666</v>
      </c>
      <c r="K187" s="15">
        <f>Table1[[#This Row],[Total_Profit]]*Table1[[#This Row],[Profit_%]]</f>
        <v>67</v>
      </c>
      <c r="L187" s="14" t="s">
        <v>39</v>
      </c>
    </row>
    <row r="188" spans="1:12" x14ac:dyDescent="0.25">
      <c r="A188" s="28">
        <v>46012</v>
      </c>
      <c r="B188" s="14" t="s">
        <v>50</v>
      </c>
      <c r="C188" s="14" t="s">
        <v>51</v>
      </c>
      <c r="G188" s="14">
        <v>2000</v>
      </c>
      <c r="H188" s="14">
        <v>12000</v>
      </c>
      <c r="I188" s="15">
        <v>402</v>
      </c>
      <c r="J188" s="15">
        <f>Table1[[#This Row],[User_Invest_Amount_As_On_Date]]/Table1[[#This Row],[Company_Total_Investment_As_On_Date]]</f>
        <v>0.16666666666666666</v>
      </c>
      <c r="K188" s="15">
        <f>Table1[[#This Row],[Total_Profit]]*Table1[[#This Row],[Profit_%]]</f>
        <v>67</v>
      </c>
      <c r="L188" s="14" t="s">
        <v>39</v>
      </c>
    </row>
    <row r="189" spans="1:12" x14ac:dyDescent="0.25">
      <c r="A189" s="28">
        <v>46012</v>
      </c>
      <c r="B189" s="14" t="s">
        <v>59</v>
      </c>
      <c r="C189" s="14" t="s">
        <v>60</v>
      </c>
      <c r="G189" s="14">
        <v>1000</v>
      </c>
      <c r="H189" s="14">
        <v>12000</v>
      </c>
      <c r="I189" s="15">
        <v>402</v>
      </c>
      <c r="J189" s="15">
        <f>Table1[[#This Row],[User_Invest_Amount_As_On_Date]]/Table1[[#This Row],[Company_Total_Investment_As_On_Date]]</f>
        <v>8.3333333333333329E-2</v>
      </c>
      <c r="K189" s="15">
        <f>Table1[[#This Row],[Total_Profit]]*Table1[[#This Row],[Profit_%]]</f>
        <v>33.5</v>
      </c>
      <c r="L189" s="14" t="s">
        <v>39</v>
      </c>
    </row>
    <row r="190" spans="1:12" x14ac:dyDescent="0.25">
      <c r="I190" s="15"/>
    </row>
    <row r="191" spans="1:12" x14ac:dyDescent="0.25">
      <c r="A191" s="28">
        <v>46013</v>
      </c>
      <c r="B191" s="14" t="s">
        <v>7</v>
      </c>
      <c r="C191" s="14" t="s">
        <v>8</v>
      </c>
      <c r="G191" s="14">
        <v>2500</v>
      </c>
      <c r="H191" s="14">
        <v>12000</v>
      </c>
      <c r="I191" s="15">
        <v>379</v>
      </c>
      <c r="J191" s="15">
        <f>Table1[[#This Row],[User_Invest_Amount_As_On_Date]]/Table1[[#This Row],[Company_Total_Investment_As_On_Date]]</f>
        <v>0.20833333333333334</v>
      </c>
      <c r="K191" s="15">
        <f>Table1[[#This Row],[Total_Profit]]*Table1[[#This Row],[Profit_%]]</f>
        <v>78.958333333333343</v>
      </c>
      <c r="L191" s="14" t="s">
        <v>39</v>
      </c>
    </row>
    <row r="192" spans="1:12" x14ac:dyDescent="0.25">
      <c r="A192" s="28">
        <v>46013</v>
      </c>
      <c r="B192" s="14" t="s">
        <v>12</v>
      </c>
      <c r="C192" s="14" t="s">
        <v>13</v>
      </c>
      <c r="G192" s="14">
        <v>1500</v>
      </c>
      <c r="H192" s="14">
        <v>12000</v>
      </c>
      <c r="I192" s="15">
        <v>379</v>
      </c>
      <c r="J192" s="15">
        <f>Table1[[#This Row],[User_Invest_Amount_As_On_Date]]/Table1[[#This Row],[Company_Total_Investment_As_On_Date]]</f>
        <v>0.125</v>
      </c>
      <c r="K192" s="15">
        <f>Table1[[#This Row],[Total_Profit]]*Table1[[#This Row],[Profit_%]]</f>
        <v>47.375</v>
      </c>
      <c r="L192" s="14" t="s">
        <v>39</v>
      </c>
    </row>
    <row r="193" spans="1:12" x14ac:dyDescent="0.25">
      <c r="A193" s="28">
        <v>46013</v>
      </c>
      <c r="B193" s="14" t="s">
        <v>14</v>
      </c>
      <c r="C193" s="14" t="s">
        <v>15</v>
      </c>
      <c r="G193" s="14">
        <v>500</v>
      </c>
      <c r="H193" s="14">
        <v>12000</v>
      </c>
      <c r="I193" s="15">
        <v>379</v>
      </c>
      <c r="J193" s="15">
        <f>Table1[[#This Row],[User_Invest_Amount_As_On_Date]]/Table1[[#This Row],[Company_Total_Investment_As_On_Date]]</f>
        <v>4.1666666666666664E-2</v>
      </c>
      <c r="K193" s="15">
        <f>Table1[[#This Row],[Total_Profit]]*Table1[[#This Row],[Profit_%]]</f>
        <v>15.791666666666666</v>
      </c>
      <c r="L193" s="14" t="s">
        <v>39</v>
      </c>
    </row>
    <row r="194" spans="1:12" x14ac:dyDescent="0.25">
      <c r="A194" s="28">
        <v>46013</v>
      </c>
      <c r="B194" s="14" t="s">
        <v>17</v>
      </c>
      <c r="C194" s="14" t="s">
        <v>18</v>
      </c>
      <c r="G194" s="14">
        <v>1500</v>
      </c>
      <c r="H194" s="14">
        <v>12000</v>
      </c>
      <c r="I194" s="15">
        <v>379</v>
      </c>
      <c r="J194" s="15">
        <f>Table1[[#This Row],[User_Invest_Amount_As_On_Date]]/Table1[[#This Row],[Company_Total_Investment_As_On_Date]]</f>
        <v>0.125</v>
      </c>
      <c r="K194" s="15">
        <f>Table1[[#This Row],[Total_Profit]]*Table1[[#This Row],[Profit_%]]</f>
        <v>47.375</v>
      </c>
      <c r="L194" s="14" t="s">
        <v>39</v>
      </c>
    </row>
    <row r="195" spans="1:12" x14ac:dyDescent="0.25">
      <c r="A195" s="28">
        <v>46013</v>
      </c>
      <c r="B195" s="14" t="s">
        <v>19</v>
      </c>
      <c r="C195" s="14" t="s">
        <v>20</v>
      </c>
      <c r="G195" s="14">
        <v>1000</v>
      </c>
      <c r="H195" s="14">
        <v>12000</v>
      </c>
      <c r="I195" s="15">
        <v>379</v>
      </c>
      <c r="J195" s="15">
        <f>Table1[[#This Row],[User_Invest_Amount_As_On_Date]]/Table1[[#This Row],[Company_Total_Investment_As_On_Date]]</f>
        <v>8.3333333333333329E-2</v>
      </c>
      <c r="K195" s="15">
        <f>Table1[[#This Row],[Total_Profit]]*Table1[[#This Row],[Profit_%]]</f>
        <v>31.583333333333332</v>
      </c>
      <c r="L195" s="14" t="s">
        <v>39</v>
      </c>
    </row>
    <row r="196" spans="1:12" x14ac:dyDescent="0.25">
      <c r="A196" s="28">
        <v>46013</v>
      </c>
      <c r="B196" s="14" t="s">
        <v>21</v>
      </c>
      <c r="C196" s="14" t="s">
        <v>22</v>
      </c>
      <c r="G196" s="14">
        <v>2000</v>
      </c>
      <c r="H196" s="14">
        <v>12000</v>
      </c>
      <c r="I196" s="15">
        <v>379</v>
      </c>
      <c r="J196" s="15">
        <f>Table1[[#This Row],[User_Invest_Amount_As_On_Date]]/Table1[[#This Row],[Company_Total_Investment_As_On_Date]]</f>
        <v>0.16666666666666666</v>
      </c>
      <c r="K196" s="15">
        <f>Table1[[#This Row],[Total_Profit]]*Table1[[#This Row],[Profit_%]]</f>
        <v>63.166666666666664</v>
      </c>
      <c r="L196" s="14" t="s">
        <v>39</v>
      </c>
    </row>
    <row r="197" spans="1:12" x14ac:dyDescent="0.25">
      <c r="A197" s="28">
        <v>46013</v>
      </c>
      <c r="B197" s="14" t="s">
        <v>50</v>
      </c>
      <c r="C197" s="14" t="s">
        <v>51</v>
      </c>
      <c r="G197" s="14">
        <v>2000</v>
      </c>
      <c r="H197" s="14">
        <v>12000</v>
      </c>
      <c r="I197" s="15">
        <v>379</v>
      </c>
      <c r="J197" s="15">
        <f>Table1[[#This Row],[User_Invest_Amount_As_On_Date]]/Table1[[#This Row],[Company_Total_Investment_As_On_Date]]</f>
        <v>0.16666666666666666</v>
      </c>
      <c r="K197" s="15">
        <f>Table1[[#This Row],[Total_Profit]]*Table1[[#This Row],[Profit_%]]</f>
        <v>63.166666666666664</v>
      </c>
      <c r="L197" s="14" t="s">
        <v>39</v>
      </c>
    </row>
    <row r="198" spans="1:12" x14ac:dyDescent="0.25">
      <c r="A198" s="28">
        <v>46013</v>
      </c>
      <c r="B198" s="14" t="s">
        <v>59</v>
      </c>
      <c r="C198" s="14" t="s">
        <v>60</v>
      </c>
      <c r="G198" s="14">
        <v>1000</v>
      </c>
      <c r="H198" s="14">
        <v>12000</v>
      </c>
      <c r="I198" s="15">
        <v>379</v>
      </c>
      <c r="J198" s="15">
        <f>Table1[[#This Row],[User_Invest_Amount_As_On_Date]]/Table1[[#This Row],[Company_Total_Investment_As_On_Date]]</f>
        <v>8.3333333333333329E-2</v>
      </c>
      <c r="K198" s="15">
        <f>Table1[[#This Row],[Total_Profit]]*Table1[[#This Row],[Profit_%]]</f>
        <v>31.583333333333332</v>
      </c>
      <c r="L198" s="14" t="s">
        <v>39</v>
      </c>
    </row>
    <row r="199" spans="1:12" x14ac:dyDescent="0.25">
      <c r="I199" s="15"/>
    </row>
    <row r="200" spans="1:12" x14ac:dyDescent="0.25">
      <c r="A200" s="28">
        <v>46014</v>
      </c>
      <c r="B200" s="14" t="s">
        <v>7</v>
      </c>
      <c r="C200" s="14" t="s">
        <v>8</v>
      </c>
      <c r="G200" s="14">
        <v>2500</v>
      </c>
      <c r="H200" s="14">
        <v>12000</v>
      </c>
      <c r="I200" s="15">
        <v>522</v>
      </c>
      <c r="J200" s="15">
        <f>Table1[[#This Row],[User_Invest_Amount_As_On_Date]]/Table1[[#This Row],[Company_Total_Investment_As_On_Date]]</f>
        <v>0.20833333333333334</v>
      </c>
      <c r="K200" s="15">
        <f>Table1[[#This Row],[Total_Profit]]*Table1[[#This Row],[Profit_%]]</f>
        <v>108.75</v>
      </c>
      <c r="L200" s="14" t="s">
        <v>39</v>
      </c>
    </row>
    <row r="201" spans="1:12" x14ac:dyDescent="0.25">
      <c r="A201" s="28">
        <v>46014</v>
      </c>
      <c r="B201" s="14" t="s">
        <v>12</v>
      </c>
      <c r="C201" s="14" t="s">
        <v>13</v>
      </c>
      <c r="G201" s="14">
        <v>1500</v>
      </c>
      <c r="H201" s="14">
        <v>12000</v>
      </c>
      <c r="I201" s="15">
        <v>522</v>
      </c>
      <c r="J201" s="15">
        <f>Table1[[#This Row],[User_Invest_Amount_As_On_Date]]/Table1[[#This Row],[Company_Total_Investment_As_On_Date]]</f>
        <v>0.125</v>
      </c>
      <c r="K201" s="15">
        <f>Table1[[#This Row],[Total_Profit]]*Table1[[#This Row],[Profit_%]]</f>
        <v>65.25</v>
      </c>
      <c r="L201" s="14" t="s">
        <v>39</v>
      </c>
    </row>
    <row r="202" spans="1:12" x14ac:dyDescent="0.25">
      <c r="A202" s="28">
        <v>46014</v>
      </c>
      <c r="B202" s="14" t="s">
        <v>14</v>
      </c>
      <c r="C202" s="14" t="s">
        <v>15</v>
      </c>
      <c r="G202" s="14">
        <v>500</v>
      </c>
      <c r="H202" s="14">
        <v>12000</v>
      </c>
      <c r="I202" s="15">
        <v>522</v>
      </c>
      <c r="J202" s="15">
        <f>Table1[[#This Row],[User_Invest_Amount_As_On_Date]]/Table1[[#This Row],[Company_Total_Investment_As_On_Date]]</f>
        <v>4.1666666666666664E-2</v>
      </c>
      <c r="K202" s="15">
        <f>Table1[[#This Row],[Total_Profit]]*Table1[[#This Row],[Profit_%]]</f>
        <v>21.75</v>
      </c>
      <c r="L202" s="14" t="s">
        <v>39</v>
      </c>
    </row>
    <row r="203" spans="1:12" x14ac:dyDescent="0.25">
      <c r="A203" s="28">
        <v>46014</v>
      </c>
      <c r="B203" s="14" t="s">
        <v>17</v>
      </c>
      <c r="C203" s="14" t="s">
        <v>18</v>
      </c>
      <c r="G203" s="14">
        <v>1500</v>
      </c>
      <c r="H203" s="14">
        <v>12000</v>
      </c>
      <c r="I203" s="15">
        <v>522</v>
      </c>
      <c r="J203" s="15">
        <f>Table1[[#This Row],[User_Invest_Amount_As_On_Date]]/Table1[[#This Row],[Company_Total_Investment_As_On_Date]]</f>
        <v>0.125</v>
      </c>
      <c r="K203" s="15">
        <f>Table1[[#This Row],[Total_Profit]]*Table1[[#This Row],[Profit_%]]</f>
        <v>65.25</v>
      </c>
      <c r="L203" s="14" t="s">
        <v>39</v>
      </c>
    </row>
    <row r="204" spans="1:12" x14ac:dyDescent="0.25">
      <c r="A204" s="28">
        <v>46014</v>
      </c>
      <c r="B204" s="14" t="s">
        <v>19</v>
      </c>
      <c r="C204" s="14" t="s">
        <v>20</v>
      </c>
      <c r="G204" s="14">
        <v>1000</v>
      </c>
      <c r="H204" s="14">
        <v>12000</v>
      </c>
      <c r="I204" s="15">
        <v>522</v>
      </c>
      <c r="J204" s="15">
        <f>Table1[[#This Row],[User_Invest_Amount_As_On_Date]]/Table1[[#This Row],[Company_Total_Investment_As_On_Date]]</f>
        <v>8.3333333333333329E-2</v>
      </c>
      <c r="K204" s="15">
        <f>Table1[[#This Row],[Total_Profit]]*Table1[[#This Row],[Profit_%]]</f>
        <v>43.5</v>
      </c>
      <c r="L204" s="14" t="s">
        <v>39</v>
      </c>
    </row>
    <row r="205" spans="1:12" x14ac:dyDescent="0.25">
      <c r="A205" s="28">
        <v>46014</v>
      </c>
      <c r="B205" s="14" t="s">
        <v>21</v>
      </c>
      <c r="C205" s="14" t="s">
        <v>22</v>
      </c>
      <c r="G205" s="14">
        <v>2000</v>
      </c>
      <c r="H205" s="14">
        <v>12000</v>
      </c>
      <c r="I205" s="15">
        <v>522</v>
      </c>
      <c r="J205" s="15">
        <f>Table1[[#This Row],[User_Invest_Amount_As_On_Date]]/Table1[[#This Row],[Company_Total_Investment_As_On_Date]]</f>
        <v>0.16666666666666666</v>
      </c>
      <c r="K205" s="15">
        <f>Table1[[#This Row],[Total_Profit]]*Table1[[#This Row],[Profit_%]]</f>
        <v>87</v>
      </c>
      <c r="L205" s="14" t="s">
        <v>39</v>
      </c>
    </row>
    <row r="206" spans="1:12" x14ac:dyDescent="0.25">
      <c r="A206" s="28">
        <v>46014</v>
      </c>
      <c r="B206" s="14" t="s">
        <v>50</v>
      </c>
      <c r="C206" s="14" t="s">
        <v>51</v>
      </c>
      <c r="G206" s="14">
        <v>2000</v>
      </c>
      <c r="H206" s="14">
        <v>12000</v>
      </c>
      <c r="I206" s="15">
        <v>522</v>
      </c>
      <c r="J206" s="15">
        <f>Table1[[#This Row],[User_Invest_Amount_As_On_Date]]/Table1[[#This Row],[Company_Total_Investment_As_On_Date]]</f>
        <v>0.16666666666666666</v>
      </c>
      <c r="K206" s="15">
        <f>Table1[[#This Row],[Total_Profit]]*Table1[[#This Row],[Profit_%]]</f>
        <v>87</v>
      </c>
      <c r="L206" s="14" t="s">
        <v>39</v>
      </c>
    </row>
    <row r="207" spans="1:12" x14ac:dyDescent="0.25">
      <c r="A207" s="28">
        <v>46014</v>
      </c>
      <c r="B207" s="14" t="s">
        <v>59</v>
      </c>
      <c r="C207" s="14" t="s">
        <v>60</v>
      </c>
      <c r="G207" s="14">
        <v>1000</v>
      </c>
      <c r="H207" s="14">
        <v>12000</v>
      </c>
      <c r="I207" s="15">
        <v>522</v>
      </c>
      <c r="J207" s="15">
        <f>Table1[[#This Row],[User_Invest_Amount_As_On_Date]]/Table1[[#This Row],[Company_Total_Investment_As_On_Date]]</f>
        <v>8.3333333333333329E-2</v>
      </c>
      <c r="K207" s="15">
        <f>Table1[[#This Row],[Total_Profit]]*Table1[[#This Row],[Profit_%]]</f>
        <v>43.5</v>
      </c>
      <c r="L207" s="14" t="s">
        <v>39</v>
      </c>
    </row>
    <row r="208" spans="1:12" x14ac:dyDescent="0.25">
      <c r="I208" s="15"/>
    </row>
    <row r="209" spans="1:12" x14ac:dyDescent="0.25">
      <c r="A209" s="28">
        <v>46015</v>
      </c>
      <c r="B209" s="14" t="s">
        <v>7</v>
      </c>
      <c r="C209" s="14" t="s">
        <v>8</v>
      </c>
      <c r="G209" s="14">
        <v>2500</v>
      </c>
      <c r="H209" s="14">
        <v>12000</v>
      </c>
      <c r="I209" s="15">
        <v>337</v>
      </c>
      <c r="J209" s="15">
        <f>Table1[[#This Row],[User_Invest_Amount_As_On_Date]]/Table1[[#This Row],[Company_Total_Investment_As_On_Date]]</f>
        <v>0.20833333333333334</v>
      </c>
      <c r="K209" s="15">
        <f>Table1[[#This Row],[Total_Profit]]*Table1[[#This Row],[Profit_%]]</f>
        <v>70.208333333333343</v>
      </c>
      <c r="L209" s="14" t="s">
        <v>39</v>
      </c>
    </row>
    <row r="210" spans="1:12" x14ac:dyDescent="0.25">
      <c r="A210" s="28">
        <v>46015</v>
      </c>
      <c r="B210" s="14" t="s">
        <v>12</v>
      </c>
      <c r="C210" s="14" t="s">
        <v>13</v>
      </c>
      <c r="G210" s="14">
        <v>1500</v>
      </c>
      <c r="H210" s="14">
        <v>12000</v>
      </c>
      <c r="I210" s="15">
        <v>337</v>
      </c>
      <c r="J210" s="15">
        <f>Table1[[#This Row],[User_Invest_Amount_As_On_Date]]/Table1[[#This Row],[Company_Total_Investment_As_On_Date]]</f>
        <v>0.125</v>
      </c>
      <c r="K210" s="15">
        <f>Table1[[#This Row],[Total_Profit]]*Table1[[#This Row],[Profit_%]]</f>
        <v>42.125</v>
      </c>
      <c r="L210" s="14" t="s">
        <v>39</v>
      </c>
    </row>
    <row r="211" spans="1:12" x14ac:dyDescent="0.25">
      <c r="A211" s="28">
        <v>46015</v>
      </c>
      <c r="B211" s="14" t="s">
        <v>14</v>
      </c>
      <c r="C211" s="14" t="s">
        <v>15</v>
      </c>
      <c r="G211" s="14">
        <v>500</v>
      </c>
      <c r="H211" s="14">
        <v>12000</v>
      </c>
      <c r="I211" s="15">
        <v>337</v>
      </c>
      <c r="J211" s="15">
        <f>Table1[[#This Row],[User_Invest_Amount_As_On_Date]]/Table1[[#This Row],[Company_Total_Investment_As_On_Date]]</f>
        <v>4.1666666666666664E-2</v>
      </c>
      <c r="K211" s="15">
        <f>Table1[[#This Row],[Total_Profit]]*Table1[[#This Row],[Profit_%]]</f>
        <v>14.041666666666666</v>
      </c>
      <c r="L211" s="14" t="s">
        <v>39</v>
      </c>
    </row>
    <row r="212" spans="1:12" x14ac:dyDescent="0.25">
      <c r="A212" s="28">
        <v>46015</v>
      </c>
      <c r="B212" s="14" t="s">
        <v>17</v>
      </c>
      <c r="C212" s="14" t="s">
        <v>18</v>
      </c>
      <c r="G212" s="14">
        <v>1500</v>
      </c>
      <c r="H212" s="14">
        <v>12000</v>
      </c>
      <c r="I212" s="15">
        <v>337</v>
      </c>
      <c r="J212" s="15">
        <f>Table1[[#This Row],[User_Invest_Amount_As_On_Date]]/Table1[[#This Row],[Company_Total_Investment_As_On_Date]]</f>
        <v>0.125</v>
      </c>
      <c r="K212" s="15">
        <f>Table1[[#This Row],[Total_Profit]]*Table1[[#This Row],[Profit_%]]</f>
        <v>42.125</v>
      </c>
      <c r="L212" s="14" t="s">
        <v>39</v>
      </c>
    </row>
    <row r="213" spans="1:12" x14ac:dyDescent="0.25">
      <c r="A213" s="28">
        <v>46015</v>
      </c>
      <c r="B213" s="14" t="s">
        <v>19</v>
      </c>
      <c r="C213" s="14" t="s">
        <v>20</v>
      </c>
      <c r="G213" s="14">
        <v>1000</v>
      </c>
      <c r="H213" s="14">
        <v>12000</v>
      </c>
      <c r="I213" s="15">
        <v>337</v>
      </c>
      <c r="J213" s="15">
        <f>Table1[[#This Row],[User_Invest_Amount_As_On_Date]]/Table1[[#This Row],[Company_Total_Investment_As_On_Date]]</f>
        <v>8.3333333333333329E-2</v>
      </c>
      <c r="K213" s="15">
        <f>Table1[[#This Row],[Total_Profit]]*Table1[[#This Row],[Profit_%]]</f>
        <v>28.083333333333332</v>
      </c>
      <c r="L213" s="14" t="s">
        <v>39</v>
      </c>
    </row>
    <row r="214" spans="1:12" x14ac:dyDescent="0.25">
      <c r="A214" s="28">
        <v>46015</v>
      </c>
      <c r="B214" s="14" t="s">
        <v>21</v>
      </c>
      <c r="C214" s="14" t="s">
        <v>22</v>
      </c>
      <c r="G214" s="14">
        <v>2000</v>
      </c>
      <c r="H214" s="14">
        <v>12000</v>
      </c>
      <c r="I214" s="15">
        <v>337</v>
      </c>
      <c r="J214" s="15">
        <f>Table1[[#This Row],[User_Invest_Amount_As_On_Date]]/Table1[[#This Row],[Company_Total_Investment_As_On_Date]]</f>
        <v>0.16666666666666666</v>
      </c>
      <c r="K214" s="15">
        <f>Table1[[#This Row],[Total_Profit]]*Table1[[#This Row],[Profit_%]]</f>
        <v>56.166666666666664</v>
      </c>
      <c r="L214" s="14" t="s">
        <v>39</v>
      </c>
    </row>
    <row r="215" spans="1:12" x14ac:dyDescent="0.25">
      <c r="A215" s="28">
        <v>46015</v>
      </c>
      <c r="B215" s="14" t="s">
        <v>50</v>
      </c>
      <c r="C215" s="14" t="s">
        <v>51</v>
      </c>
      <c r="G215" s="14">
        <v>2000</v>
      </c>
      <c r="H215" s="14">
        <v>12000</v>
      </c>
      <c r="I215" s="15">
        <v>337</v>
      </c>
      <c r="J215" s="15">
        <f>Table1[[#This Row],[User_Invest_Amount_As_On_Date]]/Table1[[#This Row],[Company_Total_Investment_As_On_Date]]</f>
        <v>0.16666666666666666</v>
      </c>
      <c r="K215" s="15">
        <f>Table1[[#This Row],[Total_Profit]]*Table1[[#This Row],[Profit_%]]</f>
        <v>56.166666666666664</v>
      </c>
      <c r="L215" s="14" t="s">
        <v>39</v>
      </c>
    </row>
    <row r="216" spans="1:12" x14ac:dyDescent="0.25">
      <c r="A216" s="28">
        <v>46015</v>
      </c>
      <c r="B216" s="14" t="s">
        <v>59</v>
      </c>
      <c r="C216" s="14" t="s">
        <v>60</v>
      </c>
      <c r="G216" s="14">
        <v>1000</v>
      </c>
      <c r="H216" s="14">
        <v>12000</v>
      </c>
      <c r="I216" s="15">
        <v>337</v>
      </c>
      <c r="J216" s="15">
        <f>Table1[[#This Row],[User_Invest_Amount_As_On_Date]]/Table1[[#This Row],[Company_Total_Investment_As_On_Date]]</f>
        <v>8.3333333333333329E-2</v>
      </c>
      <c r="K216" s="15">
        <f>Table1[[#This Row],[Total_Profit]]*Table1[[#This Row],[Profit_%]]</f>
        <v>28.083333333333332</v>
      </c>
      <c r="L216" s="14" t="s">
        <v>39</v>
      </c>
    </row>
    <row r="217" spans="1:12" x14ac:dyDescent="0.25">
      <c r="I217" s="15"/>
    </row>
    <row r="218" spans="1:12" x14ac:dyDescent="0.25">
      <c r="A218" s="28">
        <v>46016</v>
      </c>
      <c r="B218" s="14" t="s">
        <v>7</v>
      </c>
      <c r="C218" s="14" t="s">
        <v>8</v>
      </c>
      <c r="G218" s="14">
        <v>2500</v>
      </c>
      <c r="H218" s="14">
        <v>12000</v>
      </c>
      <c r="I218" s="15">
        <v>424</v>
      </c>
      <c r="J218" s="15">
        <f>Table1[[#This Row],[User_Invest_Amount_As_On_Date]]/Table1[[#This Row],[Company_Total_Investment_As_On_Date]]</f>
        <v>0.20833333333333334</v>
      </c>
      <c r="K218" s="15">
        <f>Table1[[#This Row],[Total_Profit]]*Table1[[#This Row],[Profit_%]]</f>
        <v>88.333333333333343</v>
      </c>
      <c r="L218" s="14" t="s">
        <v>39</v>
      </c>
    </row>
    <row r="219" spans="1:12" x14ac:dyDescent="0.25">
      <c r="A219" s="28">
        <v>46016</v>
      </c>
      <c r="B219" s="14" t="s">
        <v>12</v>
      </c>
      <c r="C219" s="14" t="s">
        <v>13</v>
      </c>
      <c r="G219" s="14">
        <v>1500</v>
      </c>
      <c r="H219" s="14">
        <v>12000</v>
      </c>
      <c r="I219" s="15">
        <v>424</v>
      </c>
      <c r="J219" s="15">
        <f>Table1[[#This Row],[User_Invest_Amount_As_On_Date]]/Table1[[#This Row],[Company_Total_Investment_As_On_Date]]</f>
        <v>0.125</v>
      </c>
      <c r="K219" s="15">
        <f>Table1[[#This Row],[Total_Profit]]*Table1[[#This Row],[Profit_%]]</f>
        <v>53</v>
      </c>
      <c r="L219" s="14" t="s">
        <v>39</v>
      </c>
    </row>
    <row r="220" spans="1:12" x14ac:dyDescent="0.25">
      <c r="A220" s="28">
        <v>46016</v>
      </c>
      <c r="B220" s="14" t="s">
        <v>14</v>
      </c>
      <c r="C220" s="14" t="s">
        <v>15</v>
      </c>
      <c r="G220" s="14">
        <v>500</v>
      </c>
      <c r="H220" s="14">
        <v>12000</v>
      </c>
      <c r="I220" s="15">
        <v>424</v>
      </c>
      <c r="J220" s="15">
        <f>Table1[[#This Row],[User_Invest_Amount_As_On_Date]]/Table1[[#This Row],[Company_Total_Investment_As_On_Date]]</f>
        <v>4.1666666666666664E-2</v>
      </c>
      <c r="K220" s="15">
        <f>Table1[[#This Row],[Total_Profit]]*Table1[[#This Row],[Profit_%]]</f>
        <v>17.666666666666664</v>
      </c>
      <c r="L220" s="14" t="s">
        <v>39</v>
      </c>
    </row>
    <row r="221" spans="1:12" x14ac:dyDescent="0.25">
      <c r="A221" s="28">
        <v>46016</v>
      </c>
      <c r="B221" s="14" t="s">
        <v>17</v>
      </c>
      <c r="C221" s="14" t="s">
        <v>18</v>
      </c>
      <c r="G221" s="14">
        <v>1500</v>
      </c>
      <c r="H221" s="14">
        <v>12000</v>
      </c>
      <c r="I221" s="15">
        <v>424</v>
      </c>
      <c r="J221" s="15">
        <f>Table1[[#This Row],[User_Invest_Amount_As_On_Date]]/Table1[[#This Row],[Company_Total_Investment_As_On_Date]]</f>
        <v>0.125</v>
      </c>
      <c r="K221" s="15">
        <f>Table1[[#This Row],[Total_Profit]]*Table1[[#This Row],[Profit_%]]</f>
        <v>53</v>
      </c>
      <c r="L221" s="14" t="s">
        <v>39</v>
      </c>
    </row>
    <row r="222" spans="1:12" x14ac:dyDescent="0.25">
      <c r="A222" s="28">
        <v>46016</v>
      </c>
      <c r="B222" s="14" t="s">
        <v>19</v>
      </c>
      <c r="C222" s="14" t="s">
        <v>20</v>
      </c>
      <c r="G222" s="14">
        <v>1000</v>
      </c>
      <c r="H222" s="14">
        <v>12000</v>
      </c>
      <c r="I222" s="15">
        <v>424</v>
      </c>
      <c r="J222" s="15">
        <f>Table1[[#This Row],[User_Invest_Amount_As_On_Date]]/Table1[[#This Row],[Company_Total_Investment_As_On_Date]]</f>
        <v>8.3333333333333329E-2</v>
      </c>
      <c r="K222" s="15">
        <f>Table1[[#This Row],[Total_Profit]]*Table1[[#This Row],[Profit_%]]</f>
        <v>35.333333333333329</v>
      </c>
      <c r="L222" s="14" t="s">
        <v>39</v>
      </c>
    </row>
    <row r="223" spans="1:12" x14ac:dyDescent="0.25">
      <c r="A223" s="28">
        <v>46016</v>
      </c>
      <c r="B223" s="14" t="s">
        <v>21</v>
      </c>
      <c r="C223" s="14" t="s">
        <v>22</v>
      </c>
      <c r="G223" s="14">
        <v>2000</v>
      </c>
      <c r="H223" s="14">
        <v>12000</v>
      </c>
      <c r="I223" s="15">
        <v>424</v>
      </c>
      <c r="J223" s="15">
        <f>Table1[[#This Row],[User_Invest_Amount_As_On_Date]]/Table1[[#This Row],[Company_Total_Investment_As_On_Date]]</f>
        <v>0.16666666666666666</v>
      </c>
      <c r="K223" s="15">
        <f>Table1[[#This Row],[Total_Profit]]*Table1[[#This Row],[Profit_%]]</f>
        <v>70.666666666666657</v>
      </c>
      <c r="L223" s="14" t="s">
        <v>39</v>
      </c>
    </row>
    <row r="224" spans="1:12" x14ac:dyDescent="0.25">
      <c r="A224" s="28">
        <v>46016</v>
      </c>
      <c r="B224" s="14" t="s">
        <v>50</v>
      </c>
      <c r="C224" s="14" t="s">
        <v>51</v>
      </c>
      <c r="G224" s="14">
        <v>2000</v>
      </c>
      <c r="H224" s="14">
        <v>12000</v>
      </c>
      <c r="I224" s="15">
        <v>424</v>
      </c>
      <c r="J224" s="15">
        <f>Table1[[#This Row],[User_Invest_Amount_As_On_Date]]/Table1[[#This Row],[Company_Total_Investment_As_On_Date]]</f>
        <v>0.16666666666666666</v>
      </c>
      <c r="K224" s="15">
        <f>Table1[[#This Row],[Total_Profit]]*Table1[[#This Row],[Profit_%]]</f>
        <v>70.666666666666657</v>
      </c>
      <c r="L224" s="14" t="s">
        <v>39</v>
      </c>
    </row>
    <row r="225" spans="1:12" x14ac:dyDescent="0.25">
      <c r="A225" s="28">
        <v>46016</v>
      </c>
      <c r="B225" s="14" t="s">
        <v>59</v>
      </c>
      <c r="C225" s="14" t="s">
        <v>60</v>
      </c>
      <c r="G225" s="14">
        <v>1000</v>
      </c>
      <c r="H225" s="14">
        <v>12000</v>
      </c>
      <c r="I225" s="15">
        <v>424</v>
      </c>
      <c r="J225" s="15">
        <f>Table1[[#This Row],[User_Invest_Amount_As_On_Date]]/Table1[[#This Row],[Company_Total_Investment_As_On_Date]]</f>
        <v>8.3333333333333329E-2</v>
      </c>
      <c r="K225" s="15">
        <f>Table1[[#This Row],[Total_Profit]]*Table1[[#This Row],[Profit_%]]</f>
        <v>35.333333333333329</v>
      </c>
      <c r="L225" s="14" t="s">
        <v>39</v>
      </c>
    </row>
    <row r="226" spans="1:12" x14ac:dyDescent="0.25">
      <c r="I226" s="15"/>
    </row>
    <row r="227" spans="1:12" x14ac:dyDescent="0.25">
      <c r="A227" s="28">
        <v>46017</v>
      </c>
      <c r="B227" s="14" t="s">
        <v>7</v>
      </c>
      <c r="C227" s="14" t="s">
        <v>8</v>
      </c>
      <c r="G227" s="14">
        <v>2500</v>
      </c>
      <c r="H227" s="14">
        <v>12000</v>
      </c>
      <c r="I227" s="15">
        <v>346</v>
      </c>
      <c r="J227" s="15">
        <f>Table1[[#This Row],[User_Invest_Amount_As_On_Date]]/Table1[[#This Row],[Company_Total_Investment_As_On_Date]]</f>
        <v>0.20833333333333334</v>
      </c>
      <c r="K227" s="15">
        <f>Table1[[#This Row],[Total_Profit]]*Table1[[#This Row],[Profit_%]]</f>
        <v>72.083333333333343</v>
      </c>
      <c r="L227" s="14" t="s">
        <v>39</v>
      </c>
    </row>
    <row r="228" spans="1:12" x14ac:dyDescent="0.25">
      <c r="A228" s="28">
        <v>46017</v>
      </c>
      <c r="B228" s="14" t="s">
        <v>12</v>
      </c>
      <c r="C228" s="14" t="s">
        <v>13</v>
      </c>
      <c r="G228" s="14">
        <v>1500</v>
      </c>
      <c r="H228" s="14">
        <v>12000</v>
      </c>
      <c r="I228" s="15">
        <v>346</v>
      </c>
      <c r="J228" s="15">
        <f>Table1[[#This Row],[User_Invest_Amount_As_On_Date]]/Table1[[#This Row],[Company_Total_Investment_As_On_Date]]</f>
        <v>0.125</v>
      </c>
      <c r="K228" s="15">
        <f>Table1[[#This Row],[Total_Profit]]*Table1[[#This Row],[Profit_%]]</f>
        <v>43.25</v>
      </c>
      <c r="L228" s="14" t="s">
        <v>39</v>
      </c>
    </row>
    <row r="229" spans="1:12" x14ac:dyDescent="0.25">
      <c r="A229" s="28">
        <v>46017</v>
      </c>
      <c r="B229" s="14" t="s">
        <v>14</v>
      </c>
      <c r="C229" s="14" t="s">
        <v>15</v>
      </c>
      <c r="G229" s="14">
        <v>500</v>
      </c>
      <c r="H229" s="14">
        <v>12000</v>
      </c>
      <c r="I229" s="15">
        <v>346</v>
      </c>
      <c r="J229" s="15">
        <f>Table1[[#This Row],[User_Invest_Amount_As_On_Date]]/Table1[[#This Row],[Company_Total_Investment_As_On_Date]]</f>
        <v>4.1666666666666664E-2</v>
      </c>
      <c r="K229" s="15">
        <f>Table1[[#This Row],[Total_Profit]]*Table1[[#This Row],[Profit_%]]</f>
        <v>14.416666666666666</v>
      </c>
      <c r="L229" s="14" t="s">
        <v>39</v>
      </c>
    </row>
    <row r="230" spans="1:12" x14ac:dyDescent="0.25">
      <c r="A230" s="28">
        <v>46017</v>
      </c>
      <c r="B230" s="14" t="s">
        <v>17</v>
      </c>
      <c r="C230" s="14" t="s">
        <v>18</v>
      </c>
      <c r="G230" s="14">
        <v>1500</v>
      </c>
      <c r="H230" s="14">
        <v>12000</v>
      </c>
      <c r="I230" s="15">
        <v>346</v>
      </c>
      <c r="J230" s="15">
        <f>Table1[[#This Row],[User_Invest_Amount_As_On_Date]]/Table1[[#This Row],[Company_Total_Investment_As_On_Date]]</f>
        <v>0.125</v>
      </c>
      <c r="K230" s="15">
        <f>Table1[[#This Row],[Total_Profit]]*Table1[[#This Row],[Profit_%]]</f>
        <v>43.25</v>
      </c>
      <c r="L230" s="14" t="s">
        <v>39</v>
      </c>
    </row>
    <row r="231" spans="1:12" x14ac:dyDescent="0.25">
      <c r="A231" s="28">
        <v>46017</v>
      </c>
      <c r="B231" s="14" t="s">
        <v>19</v>
      </c>
      <c r="C231" s="14" t="s">
        <v>20</v>
      </c>
      <c r="G231" s="14">
        <v>1000</v>
      </c>
      <c r="H231" s="14">
        <v>12000</v>
      </c>
      <c r="I231" s="15">
        <v>346</v>
      </c>
      <c r="J231" s="15">
        <f>Table1[[#This Row],[User_Invest_Amount_As_On_Date]]/Table1[[#This Row],[Company_Total_Investment_As_On_Date]]</f>
        <v>8.3333333333333329E-2</v>
      </c>
      <c r="K231" s="15">
        <f>Table1[[#This Row],[Total_Profit]]*Table1[[#This Row],[Profit_%]]</f>
        <v>28.833333333333332</v>
      </c>
      <c r="L231" s="14" t="s">
        <v>39</v>
      </c>
    </row>
    <row r="232" spans="1:12" x14ac:dyDescent="0.25">
      <c r="A232" s="28">
        <v>46017</v>
      </c>
      <c r="B232" s="14" t="s">
        <v>21</v>
      </c>
      <c r="C232" s="14" t="s">
        <v>22</v>
      </c>
      <c r="G232" s="14">
        <v>2000</v>
      </c>
      <c r="H232" s="14">
        <v>12000</v>
      </c>
      <c r="I232" s="15">
        <v>346</v>
      </c>
      <c r="J232" s="15">
        <f>Table1[[#This Row],[User_Invest_Amount_As_On_Date]]/Table1[[#This Row],[Company_Total_Investment_As_On_Date]]</f>
        <v>0.16666666666666666</v>
      </c>
      <c r="K232" s="15">
        <f>Table1[[#This Row],[Total_Profit]]*Table1[[#This Row],[Profit_%]]</f>
        <v>57.666666666666664</v>
      </c>
      <c r="L232" s="14" t="s">
        <v>39</v>
      </c>
    </row>
    <row r="233" spans="1:12" x14ac:dyDescent="0.25">
      <c r="A233" s="28">
        <v>46017</v>
      </c>
      <c r="B233" s="14" t="s">
        <v>50</v>
      </c>
      <c r="C233" s="14" t="s">
        <v>51</v>
      </c>
      <c r="G233" s="14">
        <v>2000</v>
      </c>
      <c r="H233" s="14">
        <v>12000</v>
      </c>
      <c r="I233" s="15">
        <v>346</v>
      </c>
      <c r="J233" s="15">
        <f>Table1[[#This Row],[User_Invest_Amount_As_On_Date]]/Table1[[#This Row],[Company_Total_Investment_As_On_Date]]</f>
        <v>0.16666666666666666</v>
      </c>
      <c r="K233" s="15">
        <f>Table1[[#This Row],[Total_Profit]]*Table1[[#This Row],[Profit_%]]</f>
        <v>57.666666666666664</v>
      </c>
      <c r="L233" s="14" t="s">
        <v>39</v>
      </c>
    </row>
    <row r="234" spans="1:12" x14ac:dyDescent="0.25">
      <c r="A234" s="28">
        <v>46017</v>
      </c>
      <c r="B234" s="14" t="s">
        <v>59</v>
      </c>
      <c r="C234" s="14" t="s">
        <v>60</v>
      </c>
      <c r="G234" s="14">
        <v>1000</v>
      </c>
      <c r="H234" s="14">
        <v>12000</v>
      </c>
      <c r="I234" s="15">
        <v>346</v>
      </c>
      <c r="J234" s="15">
        <f>Table1[[#This Row],[User_Invest_Amount_As_On_Date]]/Table1[[#This Row],[Company_Total_Investment_As_On_Date]]</f>
        <v>8.3333333333333329E-2</v>
      </c>
      <c r="K234" s="15">
        <f>Table1[[#This Row],[Total_Profit]]*Table1[[#This Row],[Profit_%]]</f>
        <v>28.833333333333332</v>
      </c>
      <c r="L234" s="14" t="s">
        <v>39</v>
      </c>
    </row>
    <row r="235" spans="1:12" x14ac:dyDescent="0.25">
      <c r="I235" s="15"/>
    </row>
    <row r="236" spans="1:12" x14ac:dyDescent="0.25">
      <c r="A236" s="28">
        <v>46018</v>
      </c>
      <c r="B236" s="14" t="s">
        <v>7</v>
      </c>
      <c r="C236" s="14" t="s">
        <v>8</v>
      </c>
      <c r="G236" s="14">
        <v>2500</v>
      </c>
      <c r="H236" s="14">
        <v>12000</v>
      </c>
      <c r="I236" s="15">
        <v>333</v>
      </c>
      <c r="J236" s="15">
        <f>Table1[[#This Row],[User_Invest_Amount_As_On_Date]]/Table1[[#This Row],[Company_Total_Investment_As_On_Date]]</f>
        <v>0.20833333333333334</v>
      </c>
      <c r="K236" s="15">
        <f>Table1[[#This Row],[Total_Profit]]*Table1[[#This Row],[Profit_%]]</f>
        <v>69.375</v>
      </c>
      <c r="L236" s="14" t="s">
        <v>39</v>
      </c>
    </row>
    <row r="237" spans="1:12" x14ac:dyDescent="0.25">
      <c r="A237" s="28">
        <v>46018</v>
      </c>
      <c r="B237" s="14" t="s">
        <v>12</v>
      </c>
      <c r="C237" s="14" t="s">
        <v>13</v>
      </c>
      <c r="G237" s="14">
        <v>1500</v>
      </c>
      <c r="H237" s="14">
        <v>12000</v>
      </c>
      <c r="I237" s="15">
        <v>333</v>
      </c>
      <c r="J237" s="15">
        <f>Table1[[#This Row],[User_Invest_Amount_As_On_Date]]/Table1[[#This Row],[Company_Total_Investment_As_On_Date]]</f>
        <v>0.125</v>
      </c>
      <c r="K237" s="15">
        <f>Table1[[#This Row],[Total_Profit]]*Table1[[#This Row],[Profit_%]]</f>
        <v>41.625</v>
      </c>
      <c r="L237" s="14" t="s">
        <v>39</v>
      </c>
    </row>
    <row r="238" spans="1:12" x14ac:dyDescent="0.25">
      <c r="A238" s="28">
        <v>46018</v>
      </c>
      <c r="B238" s="14" t="s">
        <v>14</v>
      </c>
      <c r="C238" s="14" t="s">
        <v>15</v>
      </c>
      <c r="G238" s="14">
        <v>500</v>
      </c>
      <c r="H238" s="14">
        <v>12000</v>
      </c>
      <c r="I238" s="15">
        <v>333</v>
      </c>
      <c r="J238" s="15">
        <f>Table1[[#This Row],[User_Invest_Amount_As_On_Date]]/Table1[[#This Row],[Company_Total_Investment_As_On_Date]]</f>
        <v>4.1666666666666664E-2</v>
      </c>
      <c r="K238" s="15">
        <f>Table1[[#This Row],[Total_Profit]]*Table1[[#This Row],[Profit_%]]</f>
        <v>13.875</v>
      </c>
      <c r="L238" s="14" t="s">
        <v>39</v>
      </c>
    </row>
    <row r="239" spans="1:12" x14ac:dyDescent="0.25">
      <c r="A239" s="28">
        <v>46018</v>
      </c>
      <c r="B239" s="14" t="s">
        <v>17</v>
      </c>
      <c r="C239" s="14" t="s">
        <v>18</v>
      </c>
      <c r="G239" s="14">
        <v>1500</v>
      </c>
      <c r="H239" s="14">
        <v>12000</v>
      </c>
      <c r="I239" s="15">
        <v>333</v>
      </c>
      <c r="J239" s="15">
        <f>Table1[[#This Row],[User_Invest_Amount_As_On_Date]]/Table1[[#This Row],[Company_Total_Investment_As_On_Date]]</f>
        <v>0.125</v>
      </c>
      <c r="K239" s="15">
        <f>Table1[[#This Row],[Total_Profit]]*Table1[[#This Row],[Profit_%]]</f>
        <v>41.625</v>
      </c>
      <c r="L239" s="14" t="s">
        <v>39</v>
      </c>
    </row>
    <row r="240" spans="1:12" x14ac:dyDescent="0.25">
      <c r="A240" s="28">
        <v>46018</v>
      </c>
      <c r="B240" s="14" t="s">
        <v>19</v>
      </c>
      <c r="C240" s="14" t="s">
        <v>20</v>
      </c>
      <c r="G240" s="14">
        <v>1000</v>
      </c>
      <c r="H240" s="14">
        <v>12000</v>
      </c>
      <c r="I240" s="15">
        <v>333</v>
      </c>
      <c r="J240" s="15">
        <f>Table1[[#This Row],[User_Invest_Amount_As_On_Date]]/Table1[[#This Row],[Company_Total_Investment_As_On_Date]]</f>
        <v>8.3333333333333329E-2</v>
      </c>
      <c r="K240" s="15">
        <f>Table1[[#This Row],[Total_Profit]]*Table1[[#This Row],[Profit_%]]</f>
        <v>27.75</v>
      </c>
      <c r="L240" s="14" t="s">
        <v>39</v>
      </c>
    </row>
    <row r="241" spans="1:12" x14ac:dyDescent="0.25">
      <c r="A241" s="28">
        <v>46018</v>
      </c>
      <c r="B241" s="14" t="s">
        <v>21</v>
      </c>
      <c r="C241" s="14" t="s">
        <v>22</v>
      </c>
      <c r="G241" s="14">
        <v>2000</v>
      </c>
      <c r="H241" s="14">
        <v>12000</v>
      </c>
      <c r="I241" s="15">
        <v>333</v>
      </c>
      <c r="J241" s="15">
        <f>Table1[[#This Row],[User_Invest_Amount_As_On_Date]]/Table1[[#This Row],[Company_Total_Investment_As_On_Date]]</f>
        <v>0.16666666666666666</v>
      </c>
      <c r="K241" s="15">
        <f>Table1[[#This Row],[Total_Profit]]*Table1[[#This Row],[Profit_%]]</f>
        <v>55.5</v>
      </c>
      <c r="L241" s="14" t="s">
        <v>39</v>
      </c>
    </row>
    <row r="242" spans="1:12" x14ac:dyDescent="0.25">
      <c r="A242" s="28">
        <v>46018</v>
      </c>
      <c r="B242" s="14" t="s">
        <v>50</v>
      </c>
      <c r="C242" s="14" t="s">
        <v>51</v>
      </c>
      <c r="G242" s="14">
        <v>2000</v>
      </c>
      <c r="H242" s="14">
        <v>12000</v>
      </c>
      <c r="I242" s="15">
        <v>333</v>
      </c>
      <c r="J242" s="15">
        <f>Table1[[#This Row],[User_Invest_Amount_As_On_Date]]/Table1[[#This Row],[Company_Total_Investment_As_On_Date]]</f>
        <v>0.16666666666666666</v>
      </c>
      <c r="K242" s="15">
        <f>Table1[[#This Row],[Total_Profit]]*Table1[[#This Row],[Profit_%]]</f>
        <v>55.5</v>
      </c>
      <c r="L242" s="14" t="s">
        <v>39</v>
      </c>
    </row>
    <row r="243" spans="1:12" x14ac:dyDescent="0.25">
      <c r="A243" s="28">
        <v>46018</v>
      </c>
      <c r="B243" s="14" t="s">
        <v>59</v>
      </c>
      <c r="C243" s="14" t="s">
        <v>60</v>
      </c>
      <c r="G243" s="14">
        <v>1000</v>
      </c>
      <c r="H243" s="14">
        <v>12000</v>
      </c>
      <c r="I243" s="15">
        <v>333</v>
      </c>
      <c r="J243" s="15">
        <f>Table1[[#This Row],[User_Invest_Amount_As_On_Date]]/Table1[[#This Row],[Company_Total_Investment_As_On_Date]]</f>
        <v>8.3333333333333329E-2</v>
      </c>
      <c r="K243" s="15">
        <f>Table1[[#This Row],[Total_Profit]]*Table1[[#This Row],[Profit_%]]</f>
        <v>27.75</v>
      </c>
      <c r="L243" s="14" t="s">
        <v>39</v>
      </c>
    </row>
    <row r="244" spans="1:12" x14ac:dyDescent="0.25">
      <c r="I244" s="15"/>
    </row>
    <row r="245" spans="1:12" x14ac:dyDescent="0.25">
      <c r="A245" s="28">
        <v>46019</v>
      </c>
      <c r="B245" s="14" t="s">
        <v>7</v>
      </c>
      <c r="C245" s="14" t="s">
        <v>8</v>
      </c>
      <c r="G245" s="14">
        <v>2500</v>
      </c>
      <c r="H245" s="14">
        <v>12000</v>
      </c>
      <c r="I245" s="15">
        <v>720</v>
      </c>
      <c r="J245" s="15">
        <f>Table1[[#This Row],[User_Invest_Amount_As_On_Date]]/Table1[[#This Row],[Company_Total_Investment_As_On_Date]]</f>
        <v>0.20833333333333334</v>
      </c>
      <c r="K245" s="15">
        <f>Table1[[#This Row],[Total_Profit]]*Table1[[#This Row],[Profit_%]]</f>
        <v>150</v>
      </c>
      <c r="L245" s="14" t="s">
        <v>39</v>
      </c>
    </row>
    <row r="246" spans="1:12" x14ac:dyDescent="0.25">
      <c r="A246" s="28">
        <v>46019</v>
      </c>
      <c r="B246" s="14" t="s">
        <v>12</v>
      </c>
      <c r="C246" s="14" t="s">
        <v>13</v>
      </c>
      <c r="G246" s="14">
        <v>1500</v>
      </c>
      <c r="H246" s="14">
        <v>12000</v>
      </c>
      <c r="I246" s="15">
        <v>720</v>
      </c>
      <c r="J246" s="15">
        <f>Table1[[#This Row],[User_Invest_Amount_As_On_Date]]/Table1[[#This Row],[Company_Total_Investment_As_On_Date]]</f>
        <v>0.125</v>
      </c>
      <c r="K246" s="15">
        <f>Table1[[#This Row],[Total_Profit]]*Table1[[#This Row],[Profit_%]]</f>
        <v>90</v>
      </c>
      <c r="L246" s="14" t="s">
        <v>39</v>
      </c>
    </row>
    <row r="247" spans="1:12" x14ac:dyDescent="0.25">
      <c r="A247" s="28">
        <v>46019</v>
      </c>
      <c r="B247" s="14" t="s">
        <v>14</v>
      </c>
      <c r="C247" s="14" t="s">
        <v>15</v>
      </c>
      <c r="G247" s="14">
        <v>500</v>
      </c>
      <c r="H247" s="14">
        <v>12000</v>
      </c>
      <c r="I247" s="15">
        <v>720</v>
      </c>
      <c r="J247" s="15">
        <f>Table1[[#This Row],[User_Invest_Amount_As_On_Date]]/Table1[[#This Row],[Company_Total_Investment_As_On_Date]]</f>
        <v>4.1666666666666664E-2</v>
      </c>
      <c r="K247" s="15">
        <f>Table1[[#This Row],[Total_Profit]]*Table1[[#This Row],[Profit_%]]</f>
        <v>30</v>
      </c>
      <c r="L247" s="14" t="s">
        <v>39</v>
      </c>
    </row>
    <row r="248" spans="1:12" x14ac:dyDescent="0.25">
      <c r="A248" s="28">
        <v>46019</v>
      </c>
      <c r="B248" s="14" t="s">
        <v>17</v>
      </c>
      <c r="C248" s="14" t="s">
        <v>18</v>
      </c>
      <c r="G248" s="14">
        <v>1500</v>
      </c>
      <c r="H248" s="14">
        <v>12000</v>
      </c>
      <c r="I248" s="15">
        <v>720</v>
      </c>
      <c r="J248" s="15">
        <f>Table1[[#This Row],[User_Invest_Amount_As_On_Date]]/Table1[[#This Row],[Company_Total_Investment_As_On_Date]]</f>
        <v>0.125</v>
      </c>
      <c r="K248" s="15">
        <f>Table1[[#This Row],[Total_Profit]]*Table1[[#This Row],[Profit_%]]</f>
        <v>90</v>
      </c>
      <c r="L248" s="14" t="s">
        <v>39</v>
      </c>
    </row>
    <row r="249" spans="1:12" x14ac:dyDescent="0.25">
      <c r="A249" s="28">
        <v>46019</v>
      </c>
      <c r="B249" s="14" t="s">
        <v>19</v>
      </c>
      <c r="C249" s="14" t="s">
        <v>20</v>
      </c>
      <c r="G249" s="14">
        <v>1000</v>
      </c>
      <c r="H249" s="14">
        <v>12000</v>
      </c>
      <c r="I249" s="15">
        <v>720</v>
      </c>
      <c r="J249" s="15">
        <f>Table1[[#This Row],[User_Invest_Amount_As_On_Date]]/Table1[[#This Row],[Company_Total_Investment_As_On_Date]]</f>
        <v>8.3333333333333329E-2</v>
      </c>
      <c r="K249" s="15">
        <f>Table1[[#This Row],[Total_Profit]]*Table1[[#This Row],[Profit_%]]</f>
        <v>60</v>
      </c>
      <c r="L249" s="14" t="s">
        <v>39</v>
      </c>
    </row>
    <row r="250" spans="1:12" x14ac:dyDescent="0.25">
      <c r="A250" s="28">
        <v>46019</v>
      </c>
      <c r="B250" s="14" t="s">
        <v>21</v>
      </c>
      <c r="C250" s="14" t="s">
        <v>22</v>
      </c>
      <c r="G250" s="14">
        <v>2000</v>
      </c>
      <c r="H250" s="14">
        <v>12000</v>
      </c>
      <c r="I250" s="15">
        <v>720</v>
      </c>
      <c r="J250" s="15">
        <f>Table1[[#This Row],[User_Invest_Amount_As_On_Date]]/Table1[[#This Row],[Company_Total_Investment_As_On_Date]]</f>
        <v>0.16666666666666666</v>
      </c>
      <c r="K250" s="15">
        <f>Table1[[#This Row],[Total_Profit]]*Table1[[#This Row],[Profit_%]]</f>
        <v>120</v>
      </c>
      <c r="L250" s="14" t="s">
        <v>39</v>
      </c>
    </row>
    <row r="251" spans="1:12" x14ac:dyDescent="0.25">
      <c r="A251" s="28">
        <v>46019</v>
      </c>
      <c r="B251" s="14" t="s">
        <v>50</v>
      </c>
      <c r="C251" s="14" t="s">
        <v>51</v>
      </c>
      <c r="G251" s="14">
        <v>2000</v>
      </c>
      <c r="H251" s="14">
        <v>12000</v>
      </c>
      <c r="I251" s="15">
        <v>720</v>
      </c>
      <c r="J251" s="15">
        <f>Table1[[#This Row],[User_Invest_Amount_As_On_Date]]/Table1[[#This Row],[Company_Total_Investment_As_On_Date]]</f>
        <v>0.16666666666666666</v>
      </c>
      <c r="K251" s="15">
        <f>Table1[[#This Row],[Total_Profit]]*Table1[[#This Row],[Profit_%]]</f>
        <v>120</v>
      </c>
      <c r="L251" s="14" t="s">
        <v>39</v>
      </c>
    </row>
    <row r="252" spans="1:12" x14ac:dyDescent="0.25">
      <c r="A252" s="28">
        <v>46019</v>
      </c>
      <c r="B252" s="14" t="s">
        <v>59</v>
      </c>
      <c r="C252" s="14" t="s">
        <v>60</v>
      </c>
      <c r="G252" s="14">
        <v>1000</v>
      </c>
      <c r="H252" s="14">
        <v>12000</v>
      </c>
      <c r="I252" s="15">
        <v>720</v>
      </c>
      <c r="J252" s="15">
        <f>Table1[[#This Row],[User_Invest_Amount_As_On_Date]]/Table1[[#This Row],[Company_Total_Investment_As_On_Date]]</f>
        <v>8.3333333333333329E-2</v>
      </c>
      <c r="K252" s="15">
        <f>Table1[[#This Row],[Total_Profit]]*Table1[[#This Row],[Profit_%]]</f>
        <v>60</v>
      </c>
      <c r="L252" s="14" t="s">
        <v>39</v>
      </c>
    </row>
    <row r="253" spans="1:12" x14ac:dyDescent="0.25">
      <c r="I253" s="15"/>
    </row>
    <row r="254" spans="1:12" x14ac:dyDescent="0.25">
      <c r="A254" s="28">
        <v>46020</v>
      </c>
      <c r="B254" s="14" t="s">
        <v>7</v>
      </c>
      <c r="C254" s="14" t="s">
        <v>8</v>
      </c>
      <c r="D254" s="14">
        <v>1000</v>
      </c>
      <c r="E254" s="14" t="s">
        <v>80</v>
      </c>
      <c r="F254" s="28">
        <v>46019</v>
      </c>
      <c r="G254" s="14">
        <v>3500</v>
      </c>
      <c r="H254" s="14">
        <v>13000</v>
      </c>
      <c r="I254" s="15">
        <v>745</v>
      </c>
      <c r="J254" s="15">
        <f>Table1[[#This Row],[User_Invest_Amount_As_On_Date]]/Table1[[#This Row],[Company_Total_Investment_As_On_Date]]</f>
        <v>0.26923076923076922</v>
      </c>
      <c r="K254" s="15">
        <f>Table1[[#This Row],[Total_Profit]]*Table1[[#This Row],[Profit_%]]</f>
        <v>200.57692307692307</v>
      </c>
      <c r="L254" s="14" t="s">
        <v>79</v>
      </c>
    </row>
    <row r="255" spans="1:12" x14ac:dyDescent="0.25">
      <c r="A255" s="28">
        <v>46020</v>
      </c>
      <c r="B255" s="14" t="s">
        <v>12</v>
      </c>
      <c r="C255" s="14" t="s">
        <v>13</v>
      </c>
      <c r="G255" s="14">
        <v>1500</v>
      </c>
      <c r="H255" s="14">
        <v>13000</v>
      </c>
      <c r="I255" s="15">
        <v>745</v>
      </c>
      <c r="J255" s="15">
        <f>Table1[[#This Row],[User_Invest_Amount_As_On_Date]]/Table1[[#This Row],[Company_Total_Investment_As_On_Date]]</f>
        <v>0.11538461538461539</v>
      </c>
      <c r="K255" s="15">
        <f>Table1[[#This Row],[Total_Profit]]*Table1[[#This Row],[Profit_%]]</f>
        <v>85.961538461538467</v>
      </c>
      <c r="L255" s="14" t="s">
        <v>79</v>
      </c>
    </row>
    <row r="256" spans="1:12" x14ac:dyDescent="0.25">
      <c r="A256" s="28">
        <v>46020</v>
      </c>
      <c r="B256" s="14" t="s">
        <v>14</v>
      </c>
      <c r="C256" s="14" t="s">
        <v>15</v>
      </c>
      <c r="G256" s="14">
        <v>500</v>
      </c>
      <c r="H256" s="14">
        <v>13000</v>
      </c>
      <c r="I256" s="15">
        <v>745</v>
      </c>
      <c r="J256" s="15">
        <f>Table1[[#This Row],[User_Invest_Amount_As_On_Date]]/Table1[[#This Row],[Company_Total_Investment_As_On_Date]]</f>
        <v>3.8461538461538464E-2</v>
      </c>
      <c r="K256" s="15">
        <f>Table1[[#This Row],[Total_Profit]]*Table1[[#This Row],[Profit_%]]</f>
        <v>28.653846153846157</v>
      </c>
      <c r="L256" s="14" t="s">
        <v>79</v>
      </c>
    </row>
    <row r="257" spans="1:12" x14ac:dyDescent="0.25">
      <c r="A257" s="28">
        <v>46020</v>
      </c>
      <c r="B257" s="14" t="s">
        <v>17</v>
      </c>
      <c r="C257" s="14" t="s">
        <v>18</v>
      </c>
      <c r="G257" s="14">
        <v>1500</v>
      </c>
      <c r="H257" s="14">
        <v>13000</v>
      </c>
      <c r="I257" s="15">
        <v>745</v>
      </c>
      <c r="J257" s="15">
        <f>Table1[[#This Row],[User_Invest_Amount_As_On_Date]]/Table1[[#This Row],[Company_Total_Investment_As_On_Date]]</f>
        <v>0.11538461538461539</v>
      </c>
      <c r="K257" s="15">
        <f>Table1[[#This Row],[Total_Profit]]*Table1[[#This Row],[Profit_%]]</f>
        <v>85.961538461538467</v>
      </c>
      <c r="L257" s="14" t="s">
        <v>79</v>
      </c>
    </row>
    <row r="258" spans="1:12" x14ac:dyDescent="0.25">
      <c r="A258" s="28">
        <v>46020</v>
      </c>
      <c r="B258" s="14" t="s">
        <v>19</v>
      </c>
      <c r="C258" s="14" t="s">
        <v>20</v>
      </c>
      <c r="G258" s="14">
        <v>1000</v>
      </c>
      <c r="H258" s="14">
        <v>13000</v>
      </c>
      <c r="I258" s="15">
        <v>745</v>
      </c>
      <c r="J258" s="15">
        <f>Table1[[#This Row],[User_Invest_Amount_As_On_Date]]/Table1[[#This Row],[Company_Total_Investment_As_On_Date]]</f>
        <v>7.6923076923076927E-2</v>
      </c>
      <c r="K258" s="15">
        <f>Table1[[#This Row],[Total_Profit]]*Table1[[#This Row],[Profit_%]]</f>
        <v>57.307692307692314</v>
      </c>
      <c r="L258" s="14" t="s">
        <v>79</v>
      </c>
    </row>
    <row r="259" spans="1:12" x14ac:dyDescent="0.25">
      <c r="A259" s="28">
        <v>46020</v>
      </c>
      <c r="B259" s="14" t="s">
        <v>21</v>
      </c>
      <c r="C259" s="14" t="s">
        <v>22</v>
      </c>
      <c r="G259" s="14">
        <v>2000</v>
      </c>
      <c r="H259" s="14">
        <v>13000</v>
      </c>
      <c r="I259" s="15">
        <v>745</v>
      </c>
      <c r="J259" s="15">
        <f>Table1[[#This Row],[User_Invest_Amount_As_On_Date]]/Table1[[#This Row],[Company_Total_Investment_As_On_Date]]</f>
        <v>0.15384615384615385</v>
      </c>
      <c r="K259" s="15">
        <f>Table1[[#This Row],[Total_Profit]]*Table1[[#This Row],[Profit_%]]</f>
        <v>114.61538461538463</v>
      </c>
      <c r="L259" s="14" t="s">
        <v>79</v>
      </c>
    </row>
    <row r="260" spans="1:12" x14ac:dyDescent="0.25">
      <c r="A260" s="28">
        <v>46020</v>
      </c>
      <c r="B260" s="14" t="s">
        <v>50</v>
      </c>
      <c r="C260" s="14" t="s">
        <v>51</v>
      </c>
      <c r="G260" s="14">
        <v>2000</v>
      </c>
      <c r="H260" s="14">
        <v>13000</v>
      </c>
      <c r="I260" s="15">
        <v>745</v>
      </c>
      <c r="J260" s="15">
        <f>Table1[[#This Row],[User_Invest_Amount_As_On_Date]]/Table1[[#This Row],[Company_Total_Investment_As_On_Date]]</f>
        <v>0.15384615384615385</v>
      </c>
      <c r="K260" s="15">
        <f>Table1[[#This Row],[Total_Profit]]*Table1[[#This Row],[Profit_%]]</f>
        <v>114.61538461538463</v>
      </c>
      <c r="L260" s="14" t="s">
        <v>79</v>
      </c>
    </row>
    <row r="261" spans="1:12" x14ac:dyDescent="0.25">
      <c r="A261" s="28">
        <v>46020</v>
      </c>
      <c r="B261" s="14" t="s">
        <v>59</v>
      </c>
      <c r="C261" s="14" t="s">
        <v>60</v>
      </c>
      <c r="G261" s="14">
        <v>1000</v>
      </c>
      <c r="H261" s="14">
        <v>13000</v>
      </c>
      <c r="I261" s="15">
        <v>745</v>
      </c>
      <c r="J261" s="15">
        <f>Table1[[#This Row],[User_Invest_Amount_As_On_Date]]/Table1[[#This Row],[Company_Total_Investment_As_On_Date]]</f>
        <v>7.6923076923076927E-2</v>
      </c>
      <c r="K261" s="15">
        <f>Table1[[#This Row],[Total_Profit]]*Table1[[#This Row],[Profit_%]]</f>
        <v>57.307692307692314</v>
      </c>
      <c r="L261" s="14" t="s">
        <v>79</v>
      </c>
    </row>
    <row r="262" spans="1:12" x14ac:dyDescent="0.25">
      <c r="I262" s="15"/>
    </row>
    <row r="263" spans="1:12" x14ac:dyDescent="0.25">
      <c r="A263" s="28">
        <v>46021</v>
      </c>
      <c r="B263" s="14" t="s">
        <v>7</v>
      </c>
      <c r="C263" s="14" t="s">
        <v>8</v>
      </c>
      <c r="G263" s="14">
        <v>3500</v>
      </c>
      <c r="H263" s="14">
        <v>13000</v>
      </c>
      <c r="I263" s="15">
        <v>0</v>
      </c>
      <c r="J263" s="15">
        <f>Table1[[#This Row],[User_Invest_Amount_As_On_Date]]/Table1[[#This Row],[Company_Total_Investment_As_On_Date]]</f>
        <v>0.26923076923076922</v>
      </c>
      <c r="K263" s="15">
        <f>Table1[[#This Row],[Total_Profit]]*Table1[[#This Row],[Profit_%]]</f>
        <v>0</v>
      </c>
      <c r="L263" s="14" t="s">
        <v>79</v>
      </c>
    </row>
    <row r="264" spans="1:12" x14ac:dyDescent="0.25">
      <c r="A264" s="28">
        <v>46021</v>
      </c>
      <c r="B264" s="14" t="s">
        <v>12</v>
      </c>
      <c r="C264" s="14" t="s">
        <v>13</v>
      </c>
      <c r="G264" s="14">
        <v>1500</v>
      </c>
      <c r="H264" s="14">
        <v>13000</v>
      </c>
      <c r="I264" s="15">
        <v>0</v>
      </c>
      <c r="J264" s="15">
        <f>Table1[[#This Row],[User_Invest_Amount_As_On_Date]]/Table1[[#This Row],[Company_Total_Investment_As_On_Date]]</f>
        <v>0.11538461538461539</v>
      </c>
      <c r="K264" s="15">
        <f>Table1[[#This Row],[Total_Profit]]*Table1[[#This Row],[Profit_%]]</f>
        <v>0</v>
      </c>
      <c r="L264" s="14" t="s">
        <v>79</v>
      </c>
    </row>
    <row r="265" spans="1:12" x14ac:dyDescent="0.25">
      <c r="A265" s="28">
        <v>46021</v>
      </c>
      <c r="B265" s="14" t="s">
        <v>14</v>
      </c>
      <c r="C265" s="14" t="s">
        <v>15</v>
      </c>
      <c r="G265" s="14">
        <v>500</v>
      </c>
      <c r="H265" s="14">
        <v>13000</v>
      </c>
      <c r="I265" s="15">
        <v>0</v>
      </c>
      <c r="J265" s="15">
        <f>Table1[[#This Row],[User_Invest_Amount_As_On_Date]]/Table1[[#This Row],[Company_Total_Investment_As_On_Date]]</f>
        <v>3.8461538461538464E-2</v>
      </c>
      <c r="K265" s="15">
        <f>Table1[[#This Row],[Total_Profit]]*Table1[[#This Row],[Profit_%]]</f>
        <v>0</v>
      </c>
      <c r="L265" s="14" t="s">
        <v>79</v>
      </c>
    </row>
    <row r="266" spans="1:12" x14ac:dyDescent="0.25">
      <c r="A266" s="28">
        <v>46021</v>
      </c>
      <c r="B266" s="14" t="s">
        <v>17</v>
      </c>
      <c r="C266" s="14" t="s">
        <v>18</v>
      </c>
      <c r="G266" s="14">
        <v>1500</v>
      </c>
      <c r="H266" s="14">
        <v>13000</v>
      </c>
      <c r="I266" s="15">
        <v>0</v>
      </c>
      <c r="J266" s="15">
        <f>Table1[[#This Row],[User_Invest_Amount_As_On_Date]]/Table1[[#This Row],[Company_Total_Investment_As_On_Date]]</f>
        <v>0.11538461538461539</v>
      </c>
      <c r="K266" s="15">
        <f>Table1[[#This Row],[Total_Profit]]*Table1[[#This Row],[Profit_%]]</f>
        <v>0</v>
      </c>
      <c r="L266" s="14" t="s">
        <v>79</v>
      </c>
    </row>
    <row r="267" spans="1:12" x14ac:dyDescent="0.25">
      <c r="A267" s="28">
        <v>46021</v>
      </c>
      <c r="B267" s="14" t="s">
        <v>19</v>
      </c>
      <c r="C267" s="14" t="s">
        <v>20</v>
      </c>
      <c r="G267" s="14">
        <v>1000</v>
      </c>
      <c r="H267" s="14">
        <v>13000</v>
      </c>
      <c r="I267" s="15">
        <v>0</v>
      </c>
      <c r="J267" s="15">
        <f>Table1[[#This Row],[User_Invest_Amount_As_On_Date]]/Table1[[#This Row],[Company_Total_Investment_As_On_Date]]</f>
        <v>7.6923076923076927E-2</v>
      </c>
      <c r="K267" s="15">
        <f>Table1[[#This Row],[Total_Profit]]*Table1[[#This Row],[Profit_%]]</f>
        <v>0</v>
      </c>
      <c r="L267" s="14" t="s">
        <v>79</v>
      </c>
    </row>
    <row r="268" spans="1:12" x14ac:dyDescent="0.25">
      <c r="A268" s="28">
        <v>46021</v>
      </c>
      <c r="B268" s="14" t="s">
        <v>21</v>
      </c>
      <c r="C268" s="14" t="s">
        <v>22</v>
      </c>
      <c r="G268" s="14">
        <v>2000</v>
      </c>
      <c r="H268" s="14">
        <v>13000</v>
      </c>
      <c r="I268" s="15">
        <v>0</v>
      </c>
      <c r="J268" s="15">
        <f>Table1[[#This Row],[User_Invest_Amount_As_On_Date]]/Table1[[#This Row],[Company_Total_Investment_As_On_Date]]</f>
        <v>0.15384615384615385</v>
      </c>
      <c r="K268" s="15">
        <f>Table1[[#This Row],[Total_Profit]]*Table1[[#This Row],[Profit_%]]</f>
        <v>0</v>
      </c>
      <c r="L268" s="14" t="s">
        <v>79</v>
      </c>
    </row>
    <row r="269" spans="1:12" x14ac:dyDescent="0.25">
      <c r="A269" s="28">
        <v>46021</v>
      </c>
      <c r="B269" s="14" t="s">
        <v>50</v>
      </c>
      <c r="C269" s="14" t="s">
        <v>51</v>
      </c>
      <c r="G269" s="14">
        <v>2000</v>
      </c>
      <c r="H269" s="14">
        <v>13000</v>
      </c>
      <c r="I269" s="15">
        <v>0</v>
      </c>
      <c r="J269" s="15">
        <f>Table1[[#This Row],[User_Invest_Amount_As_On_Date]]/Table1[[#This Row],[Company_Total_Investment_As_On_Date]]</f>
        <v>0.15384615384615385</v>
      </c>
      <c r="K269" s="15">
        <f>Table1[[#This Row],[Total_Profit]]*Table1[[#This Row],[Profit_%]]</f>
        <v>0</v>
      </c>
      <c r="L269" s="14" t="s">
        <v>79</v>
      </c>
    </row>
    <row r="270" spans="1:12" x14ac:dyDescent="0.25">
      <c r="A270" s="28">
        <v>46021</v>
      </c>
      <c r="B270" s="14" t="s">
        <v>59</v>
      </c>
      <c r="C270" s="14" t="s">
        <v>60</v>
      </c>
      <c r="G270" s="14">
        <v>1000</v>
      </c>
      <c r="H270" s="14">
        <v>13000</v>
      </c>
      <c r="I270" s="15">
        <v>0</v>
      </c>
      <c r="J270" s="15">
        <f>Table1[[#This Row],[User_Invest_Amount_As_On_Date]]/Table1[[#This Row],[Company_Total_Investment_As_On_Date]]</f>
        <v>7.6923076923076927E-2</v>
      </c>
      <c r="K270" s="15">
        <f>Table1[[#This Row],[Total_Profit]]*Table1[[#This Row],[Profit_%]]</f>
        <v>0</v>
      </c>
      <c r="L270" s="14" t="s">
        <v>79</v>
      </c>
    </row>
    <row r="271" spans="1:12" x14ac:dyDescent="0.25">
      <c r="I271" s="15"/>
    </row>
    <row r="272" spans="1:12" x14ac:dyDescent="0.25">
      <c r="A272" s="28">
        <v>46022</v>
      </c>
      <c r="B272" s="14" t="s">
        <v>7</v>
      </c>
      <c r="C272" s="14" t="s">
        <v>8</v>
      </c>
      <c r="G272" s="14">
        <v>3500</v>
      </c>
      <c r="I272" s="15"/>
    </row>
    <row r="273" spans="1:9" x14ac:dyDescent="0.25">
      <c r="A273" s="28">
        <v>46022</v>
      </c>
      <c r="B273" s="14" t="s">
        <v>12</v>
      </c>
      <c r="C273" s="14" t="s">
        <v>13</v>
      </c>
      <c r="G273" s="14">
        <v>1500</v>
      </c>
      <c r="I273" s="15"/>
    </row>
    <row r="274" spans="1:9" x14ac:dyDescent="0.25">
      <c r="A274" s="28">
        <v>46022</v>
      </c>
      <c r="B274" s="14" t="s">
        <v>14</v>
      </c>
      <c r="C274" s="14" t="s">
        <v>15</v>
      </c>
      <c r="G274" s="14">
        <v>500</v>
      </c>
      <c r="I274" s="15"/>
    </row>
    <row r="275" spans="1:9" x14ac:dyDescent="0.25">
      <c r="A275" s="28">
        <v>46022</v>
      </c>
      <c r="B275" s="14" t="s">
        <v>17</v>
      </c>
      <c r="C275" s="14" t="s">
        <v>18</v>
      </c>
      <c r="G275" s="14">
        <v>1500</v>
      </c>
      <c r="I275" s="15"/>
    </row>
    <row r="276" spans="1:9" x14ac:dyDescent="0.25">
      <c r="A276" s="28">
        <v>46022</v>
      </c>
      <c r="B276" s="14" t="s">
        <v>19</v>
      </c>
      <c r="C276" s="14" t="s">
        <v>20</v>
      </c>
      <c r="G276" s="14">
        <v>1000</v>
      </c>
      <c r="I276" s="15"/>
    </row>
    <row r="277" spans="1:9" x14ac:dyDescent="0.25">
      <c r="A277" s="28">
        <v>46022</v>
      </c>
      <c r="B277" s="14" t="s">
        <v>21</v>
      </c>
      <c r="C277" s="14" t="s">
        <v>22</v>
      </c>
      <c r="G277" s="14">
        <v>2000</v>
      </c>
      <c r="I277" s="15"/>
    </row>
    <row r="278" spans="1:9" x14ac:dyDescent="0.25">
      <c r="A278" s="28">
        <v>46022</v>
      </c>
      <c r="B278" s="14" t="s">
        <v>50</v>
      </c>
      <c r="C278" s="14" t="s">
        <v>51</v>
      </c>
      <c r="G278" s="14">
        <v>2000</v>
      </c>
      <c r="I278" s="15"/>
    </row>
    <row r="279" spans="1:9" x14ac:dyDescent="0.25">
      <c r="A279" s="28">
        <v>46022</v>
      </c>
      <c r="B279" s="14" t="s">
        <v>59</v>
      </c>
      <c r="C279" s="14" t="s">
        <v>60</v>
      </c>
      <c r="G279" s="14">
        <v>1000</v>
      </c>
      <c r="I279" s="15"/>
    </row>
    <row r="280" spans="1:9" x14ac:dyDescent="0.25">
      <c r="A280" s="28">
        <v>46022</v>
      </c>
      <c r="B280" s="14" t="s">
        <v>81</v>
      </c>
      <c r="C280" s="14" t="s">
        <v>84</v>
      </c>
      <c r="D280" s="14">
        <v>1000</v>
      </c>
      <c r="E280" s="14" t="s">
        <v>85</v>
      </c>
      <c r="G280" s="14">
        <v>1000</v>
      </c>
      <c r="I280" s="15"/>
    </row>
    <row r="281" spans="1:9" x14ac:dyDescent="0.25">
      <c r="I281" s="15"/>
    </row>
    <row r="282" spans="1:9" x14ac:dyDescent="0.25">
      <c r="I282" s="15"/>
    </row>
    <row r="283" spans="1:9" x14ac:dyDescent="0.25">
      <c r="I283" s="15"/>
    </row>
    <row r="284" spans="1:9" x14ac:dyDescent="0.25">
      <c r="I284" s="15"/>
    </row>
    <row r="285" spans="1:9" x14ac:dyDescent="0.25">
      <c r="I285" s="15"/>
    </row>
    <row r="286" spans="1:9" x14ac:dyDescent="0.25">
      <c r="I286" s="15"/>
    </row>
    <row r="287" spans="1:9" x14ac:dyDescent="0.25">
      <c r="I287" s="15"/>
    </row>
    <row r="288" spans="1:9" x14ac:dyDescent="0.25">
      <c r="I288" s="15"/>
    </row>
    <row r="289" spans="9:9" x14ac:dyDescent="0.25">
      <c r="I289" s="15"/>
    </row>
    <row r="290" spans="9:9" x14ac:dyDescent="0.25">
      <c r="I290" s="15"/>
    </row>
    <row r="291" spans="9:9" x14ac:dyDescent="0.25">
      <c r="I291" s="15"/>
    </row>
    <row r="292" spans="9:9" x14ac:dyDescent="0.25">
      <c r="I292" s="15"/>
    </row>
    <row r="293" spans="9:9" x14ac:dyDescent="0.25">
      <c r="I293" s="15"/>
    </row>
    <row r="294" spans="9:9" x14ac:dyDescent="0.25">
      <c r="I294" s="15"/>
    </row>
    <row r="295" spans="9:9" x14ac:dyDescent="0.25">
      <c r="I295" s="15"/>
    </row>
    <row r="296" spans="9:9" x14ac:dyDescent="0.25">
      <c r="I296" s="15"/>
    </row>
    <row r="297" spans="9:9" x14ac:dyDescent="0.25">
      <c r="I297" s="15"/>
    </row>
    <row r="298" spans="9:9" x14ac:dyDescent="0.25">
      <c r="I298" s="15"/>
    </row>
    <row r="299" spans="9:9" x14ac:dyDescent="0.25">
      <c r="I299" s="15"/>
    </row>
    <row r="300" spans="9:9" x14ac:dyDescent="0.25">
      <c r="I300" s="15"/>
    </row>
    <row r="301" spans="9:9" x14ac:dyDescent="0.25">
      <c r="I301" s="15"/>
    </row>
    <row r="302" spans="9:9" x14ac:dyDescent="0.25">
      <c r="I302" s="15"/>
    </row>
    <row r="303" spans="9:9" x14ac:dyDescent="0.25">
      <c r="I303" s="15"/>
    </row>
    <row r="304" spans="9:9" x14ac:dyDescent="0.25">
      <c r="I304" s="15"/>
    </row>
    <row r="305" spans="9:9" x14ac:dyDescent="0.25">
      <c r="I305" s="15"/>
    </row>
    <row r="306" spans="9:9" x14ac:dyDescent="0.25">
      <c r="I306" s="15"/>
    </row>
    <row r="307" spans="9:9" x14ac:dyDescent="0.25">
      <c r="I307" s="15"/>
    </row>
    <row r="308" spans="9:9" x14ac:dyDescent="0.25">
      <c r="I308" s="15"/>
    </row>
    <row r="309" spans="9:9" x14ac:dyDescent="0.25">
      <c r="I309" s="15"/>
    </row>
    <row r="310" spans="9:9" x14ac:dyDescent="0.25">
      <c r="I310" s="15"/>
    </row>
    <row r="311" spans="9:9" x14ac:dyDescent="0.25">
      <c r="I311" s="15"/>
    </row>
    <row r="312" spans="9:9" x14ac:dyDescent="0.25">
      <c r="I312" s="15"/>
    </row>
    <row r="313" spans="9:9" x14ac:dyDescent="0.25">
      <c r="I313" s="15"/>
    </row>
    <row r="314" spans="9:9" x14ac:dyDescent="0.25">
      <c r="I314" s="15"/>
    </row>
    <row r="315" spans="9:9" x14ac:dyDescent="0.25">
      <c r="I315" s="15"/>
    </row>
    <row r="316" spans="9:9" x14ac:dyDescent="0.25">
      <c r="I316" s="15"/>
    </row>
    <row r="317" spans="9:9" x14ac:dyDescent="0.25">
      <c r="I317" s="15"/>
    </row>
    <row r="318" spans="9:9" x14ac:dyDescent="0.25">
      <c r="I318" s="15"/>
    </row>
    <row r="319" spans="9:9" x14ac:dyDescent="0.25">
      <c r="I319" s="15"/>
    </row>
    <row r="320" spans="9:9" x14ac:dyDescent="0.25">
      <c r="I320" s="15"/>
    </row>
    <row r="321" spans="9:9" x14ac:dyDescent="0.25">
      <c r="I321" s="15"/>
    </row>
    <row r="322" spans="9:9" x14ac:dyDescent="0.25">
      <c r="I322" s="15"/>
    </row>
    <row r="323" spans="9:9" x14ac:dyDescent="0.25">
      <c r="I323" s="15"/>
    </row>
    <row r="324" spans="9:9" x14ac:dyDescent="0.25">
      <c r="I324" s="15"/>
    </row>
    <row r="325" spans="9:9" x14ac:dyDescent="0.25">
      <c r="I325" s="15"/>
    </row>
    <row r="326" spans="9:9" x14ac:dyDescent="0.25">
      <c r="I326" s="15"/>
    </row>
    <row r="327" spans="9:9" x14ac:dyDescent="0.25">
      <c r="I327" s="15"/>
    </row>
    <row r="328" spans="9:9" x14ac:dyDescent="0.25">
      <c r="I328" s="15"/>
    </row>
    <row r="329" spans="9:9" x14ac:dyDescent="0.25">
      <c r="I329" s="15"/>
    </row>
    <row r="330" spans="9:9" x14ac:dyDescent="0.25">
      <c r="I330" s="15"/>
    </row>
    <row r="331" spans="9:9" x14ac:dyDescent="0.25">
      <c r="I331" s="15"/>
    </row>
    <row r="332" spans="9:9" x14ac:dyDescent="0.25">
      <c r="I332" s="15"/>
    </row>
    <row r="333" spans="9:9" x14ac:dyDescent="0.25">
      <c r="I333" s="15"/>
    </row>
    <row r="334" spans="9:9" x14ac:dyDescent="0.25">
      <c r="I334" s="15"/>
    </row>
    <row r="335" spans="9:9" x14ac:dyDescent="0.25">
      <c r="I335" s="15"/>
    </row>
    <row r="336" spans="9:9" x14ac:dyDescent="0.25">
      <c r="I336" s="15"/>
    </row>
    <row r="337" spans="9:9" x14ac:dyDescent="0.25">
      <c r="I337" s="15"/>
    </row>
    <row r="338" spans="9:9" x14ac:dyDescent="0.25">
      <c r="I338" s="15"/>
    </row>
    <row r="339" spans="9:9" x14ac:dyDescent="0.25">
      <c r="I339" s="15"/>
    </row>
    <row r="340" spans="9:9" x14ac:dyDescent="0.25">
      <c r="I340" s="15"/>
    </row>
    <row r="341" spans="9:9" x14ac:dyDescent="0.25">
      <c r="I341" s="15"/>
    </row>
    <row r="342" spans="9:9" x14ac:dyDescent="0.25">
      <c r="I342" s="15"/>
    </row>
    <row r="343" spans="9:9" x14ac:dyDescent="0.25">
      <c r="I343" s="15"/>
    </row>
    <row r="344" spans="9:9" x14ac:dyDescent="0.25">
      <c r="I344" s="15"/>
    </row>
    <row r="345" spans="9:9" x14ac:dyDescent="0.25">
      <c r="I345" s="15"/>
    </row>
    <row r="346" spans="9:9" x14ac:dyDescent="0.25">
      <c r="I346" s="15"/>
    </row>
    <row r="347" spans="9:9" x14ac:dyDescent="0.25">
      <c r="I347" s="15"/>
    </row>
    <row r="348" spans="9:9" x14ac:dyDescent="0.25">
      <c r="I348" s="15"/>
    </row>
    <row r="349" spans="9:9" x14ac:dyDescent="0.25">
      <c r="I349" s="15"/>
    </row>
    <row r="350" spans="9:9" x14ac:dyDescent="0.25">
      <c r="I350" s="15"/>
    </row>
    <row r="351" spans="9:9" x14ac:dyDescent="0.25">
      <c r="I351" s="15"/>
    </row>
    <row r="352" spans="9:9" x14ac:dyDescent="0.25">
      <c r="I352" s="15"/>
    </row>
    <row r="353" spans="9:9" x14ac:dyDescent="0.25">
      <c r="I353" s="15"/>
    </row>
    <row r="354" spans="9:9" x14ac:dyDescent="0.25">
      <c r="I354" s="15"/>
    </row>
    <row r="355" spans="9:9" x14ac:dyDescent="0.25">
      <c r="I355" s="15"/>
    </row>
    <row r="356" spans="9:9" x14ac:dyDescent="0.25">
      <c r="I356" s="15"/>
    </row>
    <row r="357" spans="9:9" x14ac:dyDescent="0.25">
      <c r="I357" s="15"/>
    </row>
    <row r="358" spans="9:9" x14ac:dyDescent="0.25">
      <c r="I358" s="15"/>
    </row>
    <row r="359" spans="9:9" x14ac:dyDescent="0.25">
      <c r="I359" s="15"/>
    </row>
    <row r="360" spans="9:9" x14ac:dyDescent="0.25">
      <c r="I360" s="15"/>
    </row>
    <row r="361" spans="9:9" x14ac:dyDescent="0.25">
      <c r="I361" s="15"/>
    </row>
    <row r="362" spans="9:9" x14ac:dyDescent="0.25">
      <c r="I362" s="15"/>
    </row>
    <row r="363" spans="9:9" x14ac:dyDescent="0.25">
      <c r="I363" s="15"/>
    </row>
    <row r="364" spans="9:9" x14ac:dyDescent="0.25">
      <c r="I364" s="15"/>
    </row>
    <row r="365" spans="9:9" x14ac:dyDescent="0.25">
      <c r="I365" s="15"/>
    </row>
    <row r="366" spans="9:9" x14ac:dyDescent="0.25">
      <c r="I366" s="15"/>
    </row>
    <row r="367" spans="9:9" x14ac:dyDescent="0.25">
      <c r="I367" s="15"/>
    </row>
    <row r="368" spans="9:9" x14ac:dyDescent="0.25">
      <c r="I368" s="15"/>
    </row>
    <row r="369" spans="9:9" x14ac:dyDescent="0.25">
      <c r="I369" s="15"/>
    </row>
    <row r="370" spans="9:9" x14ac:dyDescent="0.25">
      <c r="I370" s="15"/>
    </row>
    <row r="371" spans="9:9" x14ac:dyDescent="0.25">
      <c r="I371" s="15"/>
    </row>
    <row r="372" spans="9:9" x14ac:dyDescent="0.25">
      <c r="I372" s="15"/>
    </row>
    <row r="373" spans="9:9" x14ac:dyDescent="0.25">
      <c r="I373" s="15"/>
    </row>
    <row r="374" spans="9:9" x14ac:dyDescent="0.25">
      <c r="I374" s="15"/>
    </row>
    <row r="375" spans="9:9" x14ac:dyDescent="0.25">
      <c r="I375" s="15"/>
    </row>
    <row r="376" spans="9:9" x14ac:dyDescent="0.25">
      <c r="I376" s="15"/>
    </row>
    <row r="377" spans="9:9" x14ac:dyDescent="0.25">
      <c r="I377" s="15"/>
    </row>
    <row r="378" spans="9:9" x14ac:dyDescent="0.25">
      <c r="I378" s="15"/>
    </row>
    <row r="379" spans="9:9" x14ac:dyDescent="0.25">
      <c r="I379" s="15"/>
    </row>
    <row r="380" spans="9:9" x14ac:dyDescent="0.25">
      <c r="I380" s="15"/>
    </row>
    <row r="381" spans="9:9" x14ac:dyDescent="0.25">
      <c r="I381" s="15"/>
    </row>
    <row r="382" spans="9:9" x14ac:dyDescent="0.25">
      <c r="I382" s="15"/>
    </row>
    <row r="383" spans="9:9" x14ac:dyDescent="0.25">
      <c r="I383" s="15"/>
    </row>
    <row r="384" spans="9:9" x14ac:dyDescent="0.25">
      <c r="I384" s="15"/>
    </row>
    <row r="385" spans="9:9" x14ac:dyDescent="0.25">
      <c r="I385" s="15"/>
    </row>
    <row r="386" spans="9:9" x14ac:dyDescent="0.25">
      <c r="I386" s="15"/>
    </row>
    <row r="387" spans="9:9" x14ac:dyDescent="0.25">
      <c r="I387" s="15"/>
    </row>
    <row r="388" spans="9:9" x14ac:dyDescent="0.25">
      <c r="I388" s="15"/>
    </row>
    <row r="389" spans="9:9" x14ac:dyDescent="0.25">
      <c r="I389" s="15"/>
    </row>
    <row r="390" spans="9:9" x14ac:dyDescent="0.25">
      <c r="I390" s="15"/>
    </row>
    <row r="391" spans="9:9" x14ac:dyDescent="0.25">
      <c r="I391" s="15"/>
    </row>
    <row r="392" spans="9:9" x14ac:dyDescent="0.25">
      <c r="I392" s="15"/>
    </row>
    <row r="393" spans="9:9" x14ac:dyDescent="0.25">
      <c r="I393" s="15"/>
    </row>
    <row r="394" spans="9:9" x14ac:dyDescent="0.25">
      <c r="I394" s="15"/>
    </row>
    <row r="395" spans="9:9" x14ac:dyDescent="0.25">
      <c r="I395" s="15"/>
    </row>
    <row r="396" spans="9:9" x14ac:dyDescent="0.25">
      <c r="I396" s="15"/>
    </row>
    <row r="397" spans="9:9" x14ac:dyDescent="0.25">
      <c r="I397" s="15"/>
    </row>
    <row r="398" spans="9:9" x14ac:dyDescent="0.25">
      <c r="I398" s="15"/>
    </row>
    <row r="399" spans="9:9" x14ac:dyDescent="0.25">
      <c r="I399" s="15"/>
    </row>
    <row r="400" spans="9:9" x14ac:dyDescent="0.25">
      <c r="I400" s="15"/>
    </row>
    <row r="401" spans="9:9" x14ac:dyDescent="0.25">
      <c r="I401" s="15"/>
    </row>
    <row r="402" spans="9:9" x14ac:dyDescent="0.25">
      <c r="I402" s="15"/>
    </row>
    <row r="403" spans="9:9" x14ac:dyDescent="0.25">
      <c r="I403" s="15"/>
    </row>
    <row r="404" spans="9:9" x14ac:dyDescent="0.25">
      <c r="I404" s="15"/>
    </row>
    <row r="405" spans="9:9" x14ac:dyDescent="0.25">
      <c r="I405" s="15"/>
    </row>
    <row r="406" spans="9:9" x14ac:dyDescent="0.25">
      <c r="I406" s="15"/>
    </row>
    <row r="407" spans="9:9" x14ac:dyDescent="0.25">
      <c r="I407" s="15"/>
    </row>
    <row r="408" spans="9:9" x14ac:dyDescent="0.25">
      <c r="I408" s="15"/>
    </row>
    <row r="409" spans="9:9" x14ac:dyDescent="0.25">
      <c r="I409" s="15"/>
    </row>
    <row r="410" spans="9:9" x14ac:dyDescent="0.25">
      <c r="I410" s="15"/>
    </row>
    <row r="411" spans="9:9" x14ac:dyDescent="0.25">
      <c r="I411" s="15"/>
    </row>
    <row r="412" spans="9:9" x14ac:dyDescent="0.25">
      <c r="I412" s="15"/>
    </row>
    <row r="413" spans="9:9" x14ac:dyDescent="0.25">
      <c r="I413" s="15"/>
    </row>
    <row r="414" spans="9:9" x14ac:dyDescent="0.25">
      <c r="I414" s="15"/>
    </row>
    <row r="415" spans="9:9" x14ac:dyDescent="0.25">
      <c r="I415" s="15"/>
    </row>
    <row r="416" spans="9:9" x14ac:dyDescent="0.25">
      <c r="I416" s="15"/>
    </row>
    <row r="417" spans="9:9" x14ac:dyDescent="0.25">
      <c r="I417" s="15"/>
    </row>
    <row r="418" spans="9:9" x14ac:dyDescent="0.25">
      <c r="I418" s="15"/>
    </row>
    <row r="419" spans="9:9" x14ac:dyDescent="0.25">
      <c r="I419" s="15"/>
    </row>
    <row r="420" spans="9:9" x14ac:dyDescent="0.25">
      <c r="I420" s="15"/>
    </row>
    <row r="421" spans="9:9" x14ac:dyDescent="0.25">
      <c r="I421" s="15"/>
    </row>
    <row r="422" spans="9:9" x14ac:dyDescent="0.25">
      <c r="I422" s="15"/>
    </row>
    <row r="423" spans="9:9" x14ac:dyDescent="0.25">
      <c r="I423" s="15"/>
    </row>
    <row r="424" spans="9:9" x14ac:dyDescent="0.25">
      <c r="I424" s="15"/>
    </row>
    <row r="425" spans="9:9" x14ac:dyDescent="0.25">
      <c r="I425" s="15"/>
    </row>
    <row r="426" spans="9:9" x14ac:dyDescent="0.25">
      <c r="I426" s="15"/>
    </row>
    <row r="427" spans="9:9" x14ac:dyDescent="0.25">
      <c r="I427" s="15"/>
    </row>
    <row r="428" spans="9:9" x14ac:dyDescent="0.25">
      <c r="I428" s="15"/>
    </row>
    <row r="429" spans="9:9" x14ac:dyDescent="0.25">
      <c r="I429" s="15"/>
    </row>
    <row r="430" spans="9:9" x14ac:dyDescent="0.25">
      <c r="I430" s="15"/>
    </row>
    <row r="431" spans="9:9" x14ac:dyDescent="0.25">
      <c r="I431" s="15"/>
    </row>
    <row r="432" spans="9:9" x14ac:dyDescent="0.25">
      <c r="I432" s="15"/>
    </row>
    <row r="433" spans="9:9" x14ac:dyDescent="0.25">
      <c r="I433" s="15"/>
    </row>
    <row r="434" spans="9:9" x14ac:dyDescent="0.25">
      <c r="I434" s="15"/>
    </row>
    <row r="435" spans="9:9" x14ac:dyDescent="0.25">
      <c r="I435" s="15"/>
    </row>
    <row r="436" spans="9:9" x14ac:dyDescent="0.25">
      <c r="I436" s="15"/>
    </row>
    <row r="437" spans="9:9" x14ac:dyDescent="0.25">
      <c r="I437" s="15"/>
    </row>
    <row r="438" spans="9:9" x14ac:dyDescent="0.25">
      <c r="I438" s="15"/>
    </row>
    <row r="439" spans="9:9" x14ac:dyDescent="0.25">
      <c r="I439" s="15"/>
    </row>
    <row r="440" spans="9:9" x14ac:dyDescent="0.25">
      <c r="I440" s="15"/>
    </row>
    <row r="441" spans="9:9" x14ac:dyDescent="0.25">
      <c r="I441" s="15"/>
    </row>
    <row r="442" spans="9:9" x14ac:dyDescent="0.25">
      <c r="I442" s="15"/>
    </row>
    <row r="5641" spans="1:1" x14ac:dyDescent="0.25">
      <c r="A5641" s="2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E10" sqref="E10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72</v>
      </c>
      <c r="C1" s="30" t="s">
        <v>1</v>
      </c>
      <c r="D1" t="s">
        <v>76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3500</v>
      </c>
      <c r="E2" s="3">
        <f>SUMIFS(Daily_Report!E:E,Daily_Report!B:B,Table2[[#This Row],[UserID]])</f>
        <v>2692.865689346585</v>
      </c>
      <c r="F2" t="s">
        <v>38</v>
      </c>
    </row>
    <row r="3" spans="1:6" x14ac:dyDescent="0.25">
      <c r="A3" t="s">
        <v>12</v>
      </c>
      <c r="B3" t="s">
        <v>13</v>
      </c>
      <c r="C3" t="s">
        <v>73</v>
      </c>
      <c r="D3">
        <v>1500</v>
      </c>
      <c r="E3" s="3">
        <f>SUMIFS(Daily_Report!E:E,Daily_Report!B:B,Table2[[#This Row],[UserID]])</f>
        <v>1607.5303823732929</v>
      </c>
      <c r="F3" t="s">
        <v>42</v>
      </c>
    </row>
    <row r="4" spans="1:6" x14ac:dyDescent="0.25">
      <c r="A4" t="s">
        <v>14</v>
      </c>
      <c r="B4" t="s">
        <v>15</v>
      </c>
      <c r="C4" t="s">
        <v>74</v>
      </c>
      <c r="D4">
        <v>500</v>
      </c>
      <c r="E4" s="3">
        <f>SUMIFS(Daily_Report!E:E,Daily_Report!B:B,Table2[[#This Row],[UserID]])</f>
        <v>553.65753855044909</v>
      </c>
      <c r="F4" t="s">
        <v>44</v>
      </c>
    </row>
    <row r="5" spans="1:6" x14ac:dyDescent="0.25">
      <c r="A5" t="s">
        <v>17</v>
      </c>
      <c r="B5" t="s">
        <v>18</v>
      </c>
      <c r="C5" t="s">
        <v>75</v>
      </c>
      <c r="D5">
        <v>1500</v>
      </c>
      <c r="E5" s="3">
        <f>SUMIFS(Daily_Report!E:E,Daily_Report!B:B,Table2[[#This Row],[UserID]])</f>
        <v>1604.361504540236</v>
      </c>
      <c r="F5" t="s">
        <v>41</v>
      </c>
    </row>
    <row r="6" spans="1:6" x14ac:dyDescent="0.25">
      <c r="A6" t="s">
        <v>19</v>
      </c>
      <c r="B6" t="s">
        <v>20</v>
      </c>
      <c r="C6" t="s">
        <v>77</v>
      </c>
      <c r="D6">
        <v>1000</v>
      </c>
      <c r="E6" s="3">
        <f>SUMIFS(Daily_Report!E:E,Daily_Report!B:B,Table2[[#This Row],[UserID]])</f>
        <v>831.85768100059147</v>
      </c>
      <c r="F6" t="s">
        <v>40</v>
      </c>
    </row>
    <row r="7" spans="1:6" x14ac:dyDescent="0.25">
      <c r="A7" t="s">
        <v>21</v>
      </c>
      <c r="B7" t="s">
        <v>22</v>
      </c>
      <c r="C7" t="s">
        <v>78</v>
      </c>
      <c r="D7">
        <v>2000</v>
      </c>
      <c r="E7" s="3">
        <f>SUMIFS(Daily_Report!E:E,Daily_Report!B:B,Table2[[#This Row],[UserID]])</f>
        <v>2139.1486727203146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1946.2456876456881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750.32284382284388</v>
      </c>
      <c r="F9" t="s">
        <v>65</v>
      </c>
    </row>
    <row r="10" spans="1:6" x14ac:dyDescent="0.25">
      <c r="A10" t="s">
        <v>81</v>
      </c>
      <c r="B10" t="s">
        <v>84</v>
      </c>
      <c r="C10" t="s">
        <v>83</v>
      </c>
      <c r="D10">
        <v>1000</v>
      </c>
      <c r="E10" s="3">
        <f>SUMIFS(Daily_Report!E:E,Daily_Report!B:B,Table2[[#This Row],[UserID]])</f>
        <v>0</v>
      </c>
    </row>
  </sheetData>
  <hyperlinks>
    <hyperlink ref="F6" r:id="rId1"/>
    <hyperlink ref="F8" r:id="rId2"/>
    <hyperlink ref="F9" r:id="rId3"/>
  </hyperlinks>
  <pageMargins left="0.7" right="0.7" top="0.75" bottom="0.75" header="0.3" footer="0.3"/>
  <pageSetup orientation="portrait"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2"/>
  <sheetViews>
    <sheetView topLeftCell="A240" workbookViewId="0">
      <selection activeCell="D268" sqref="D268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16384" width="9.140625" style="14"/>
  </cols>
  <sheetData>
    <row r="1" spans="1:7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</row>
    <row r="2" spans="1:7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7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7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7" x14ac:dyDescent="0.25">
      <c r="D5" s="16"/>
      <c r="G5" s="15"/>
    </row>
    <row r="6" spans="1:7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7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7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7" x14ac:dyDescent="0.25">
      <c r="D9" s="16"/>
      <c r="G9" s="15"/>
    </row>
    <row r="10" spans="1:7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7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7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7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7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7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7" x14ac:dyDescent="0.25">
      <c r="D16" s="16"/>
      <c r="G16" s="15"/>
    </row>
    <row r="17" spans="1:7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x14ac:dyDescent="0.25">
      <c r="D23" s="16"/>
      <c r="G23" s="15"/>
    </row>
    <row r="24" spans="1:7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x14ac:dyDescent="0.25">
      <c r="D30" s="16"/>
      <c r="G30" s="15"/>
    </row>
    <row r="31" spans="1:7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x14ac:dyDescent="0.25">
      <c r="D38" s="16"/>
      <c r="G38" s="15"/>
    </row>
    <row r="39" spans="1:7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x14ac:dyDescent="0.25">
      <c r="D46" s="16"/>
      <c r="G46" s="15"/>
    </row>
    <row r="47" spans="1:7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x14ac:dyDescent="0.25">
      <c r="D54" s="16"/>
      <c r="G54" s="15"/>
    </row>
    <row r="55" spans="1:7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x14ac:dyDescent="0.25">
      <c r="D62" s="16"/>
      <c r="G62" s="15"/>
    </row>
    <row r="63" spans="1:7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x14ac:dyDescent="0.25">
      <c r="D70" s="16"/>
      <c r="G70" s="15"/>
    </row>
    <row r="71" spans="1:7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x14ac:dyDescent="0.25">
      <c r="D79" s="16"/>
      <c r="G79" s="15"/>
    </row>
    <row r="80" spans="1:7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x14ac:dyDescent="0.25">
      <c r="D88" s="16"/>
      <c r="G88" s="15"/>
    </row>
    <row r="89" spans="1:7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x14ac:dyDescent="0.25">
      <c r="D97" s="16"/>
      <c r="G97" s="15"/>
    </row>
    <row r="98" spans="1:7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</row>
    <row r="99" spans="1:7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</row>
    <row r="100" spans="1:7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</row>
    <row r="101" spans="1:7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</row>
    <row r="102" spans="1:7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</row>
    <row r="103" spans="1:7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</row>
    <row r="104" spans="1:7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</row>
    <row r="105" spans="1:7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</row>
    <row r="106" spans="1:7" x14ac:dyDescent="0.25">
      <c r="D106" s="16"/>
      <c r="G106" s="15"/>
    </row>
    <row r="107" spans="1:7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</row>
    <row r="108" spans="1:7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</row>
    <row r="109" spans="1:7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</row>
    <row r="110" spans="1:7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</row>
    <row r="111" spans="1:7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</row>
    <row r="112" spans="1:7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</row>
    <row r="113" spans="1:7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</row>
    <row r="114" spans="1:7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</row>
    <row r="115" spans="1:7" x14ac:dyDescent="0.25">
      <c r="D115" s="16"/>
    </row>
    <row r="116" spans="1:7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</row>
    <row r="117" spans="1:7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</row>
    <row r="118" spans="1:7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</row>
    <row r="119" spans="1:7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</row>
    <row r="120" spans="1:7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</row>
    <row r="121" spans="1:7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</row>
    <row r="122" spans="1:7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</row>
    <row r="123" spans="1:7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</row>
    <row r="124" spans="1:7" x14ac:dyDescent="0.25">
      <c r="D124" s="16"/>
      <c r="G124" s="15"/>
    </row>
    <row r="125" spans="1:7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</row>
    <row r="126" spans="1:7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</row>
    <row r="127" spans="1:7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</row>
    <row r="128" spans="1:7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</row>
    <row r="129" spans="1:7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</row>
    <row r="130" spans="1:7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</row>
    <row r="131" spans="1:7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</row>
    <row r="132" spans="1:7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</row>
    <row r="133" spans="1:7" x14ac:dyDescent="0.25">
      <c r="D133" s="16"/>
      <c r="G133" s="15"/>
    </row>
    <row r="134" spans="1:7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</row>
    <row r="135" spans="1:7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</row>
    <row r="136" spans="1:7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</row>
    <row r="137" spans="1:7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</row>
    <row r="138" spans="1:7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</row>
    <row r="139" spans="1:7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</row>
    <row r="140" spans="1:7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</row>
    <row r="141" spans="1:7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</row>
    <row r="142" spans="1:7" x14ac:dyDescent="0.25">
      <c r="D142" s="16"/>
      <c r="G142" s="15"/>
    </row>
    <row r="143" spans="1:7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</row>
    <row r="144" spans="1:7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</row>
    <row r="145" spans="1:7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</row>
    <row r="146" spans="1:7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</row>
    <row r="147" spans="1:7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</row>
    <row r="148" spans="1:7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</row>
    <row r="149" spans="1:7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</row>
    <row r="150" spans="1:7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</row>
    <row r="151" spans="1:7" x14ac:dyDescent="0.25">
      <c r="D151" s="16"/>
      <c r="G151" s="15"/>
    </row>
    <row r="152" spans="1:7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</row>
    <row r="153" spans="1:7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</row>
    <row r="154" spans="1:7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</row>
    <row r="155" spans="1:7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</row>
    <row r="156" spans="1:7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</row>
    <row r="157" spans="1:7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</row>
    <row r="158" spans="1:7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</row>
    <row r="159" spans="1:7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</row>
    <row r="160" spans="1:7" x14ac:dyDescent="0.25">
      <c r="D160" s="16"/>
      <c r="G160" s="15"/>
    </row>
    <row r="161" spans="1:7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</row>
    <row r="162" spans="1:7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</row>
    <row r="163" spans="1:7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</row>
    <row r="164" spans="1:7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</row>
    <row r="165" spans="1:7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</row>
    <row r="166" spans="1:7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</row>
    <row r="167" spans="1:7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</row>
    <row r="168" spans="1:7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</row>
    <row r="169" spans="1:7" x14ac:dyDescent="0.25">
      <c r="D169" s="16"/>
      <c r="G169" s="15"/>
    </row>
    <row r="170" spans="1:7" x14ac:dyDescent="0.25">
      <c r="A170" s="28">
        <v>46012</v>
      </c>
      <c r="B170" s="14" t="s">
        <v>7</v>
      </c>
      <c r="C170" s="14">
        <v>2500</v>
      </c>
      <c r="D170" s="16">
        <v>12000</v>
      </c>
      <c r="E170" s="15">
        <v>83.75</v>
      </c>
      <c r="F170" s="14" t="s">
        <v>39</v>
      </c>
      <c r="G170" s="15">
        <v>402</v>
      </c>
    </row>
    <row r="171" spans="1:7" x14ac:dyDescent="0.25">
      <c r="A171" s="28">
        <v>46012</v>
      </c>
      <c r="B171" s="14" t="s">
        <v>12</v>
      </c>
      <c r="C171" s="14">
        <v>1500</v>
      </c>
      <c r="D171" s="16">
        <v>12000</v>
      </c>
      <c r="E171" s="15">
        <v>50.25</v>
      </c>
      <c r="F171" s="14" t="s">
        <v>39</v>
      </c>
      <c r="G171" s="15">
        <v>402</v>
      </c>
    </row>
    <row r="172" spans="1:7" x14ac:dyDescent="0.25">
      <c r="A172" s="28">
        <v>46012</v>
      </c>
      <c r="B172" s="14" t="s">
        <v>14</v>
      </c>
      <c r="C172" s="14">
        <v>500</v>
      </c>
      <c r="D172" s="16">
        <v>12000</v>
      </c>
      <c r="E172" s="15">
        <v>16.75</v>
      </c>
      <c r="F172" s="14" t="s">
        <v>39</v>
      </c>
      <c r="G172" s="15">
        <v>402</v>
      </c>
    </row>
    <row r="173" spans="1:7" x14ac:dyDescent="0.25">
      <c r="A173" s="28">
        <v>46012</v>
      </c>
      <c r="B173" s="14" t="s">
        <v>17</v>
      </c>
      <c r="C173" s="14">
        <v>1500</v>
      </c>
      <c r="D173" s="16">
        <v>12000</v>
      </c>
      <c r="E173" s="15">
        <v>50.25</v>
      </c>
      <c r="F173" s="14" t="s">
        <v>39</v>
      </c>
      <c r="G173" s="15">
        <v>402</v>
      </c>
    </row>
    <row r="174" spans="1:7" x14ac:dyDescent="0.25">
      <c r="A174" s="28">
        <v>46012</v>
      </c>
      <c r="B174" s="14" t="s">
        <v>19</v>
      </c>
      <c r="C174" s="14">
        <v>1000</v>
      </c>
      <c r="D174" s="16">
        <v>12000</v>
      </c>
      <c r="E174" s="15">
        <v>33.5</v>
      </c>
      <c r="F174" s="14" t="s">
        <v>39</v>
      </c>
      <c r="G174" s="15">
        <v>402</v>
      </c>
    </row>
    <row r="175" spans="1:7" x14ac:dyDescent="0.25">
      <c r="A175" s="28">
        <v>46012</v>
      </c>
      <c r="B175" s="14" t="s">
        <v>21</v>
      </c>
      <c r="C175" s="14">
        <v>2000</v>
      </c>
      <c r="D175" s="16">
        <v>12000</v>
      </c>
      <c r="E175" s="15">
        <v>67</v>
      </c>
      <c r="F175" s="14" t="s">
        <v>39</v>
      </c>
      <c r="G175" s="15">
        <v>402</v>
      </c>
    </row>
    <row r="176" spans="1:7" x14ac:dyDescent="0.25">
      <c r="A176" s="28">
        <v>46012</v>
      </c>
      <c r="B176" s="14" t="s">
        <v>50</v>
      </c>
      <c r="C176" s="14">
        <v>2000</v>
      </c>
      <c r="D176" s="16">
        <v>12000</v>
      </c>
      <c r="E176" s="15">
        <v>67</v>
      </c>
      <c r="F176" s="14" t="s">
        <v>39</v>
      </c>
      <c r="G176" s="15">
        <v>402</v>
      </c>
    </row>
    <row r="177" spans="1:7" x14ac:dyDescent="0.25">
      <c r="A177" s="28">
        <v>46012</v>
      </c>
      <c r="B177" s="14" t="s">
        <v>59</v>
      </c>
      <c r="C177" s="14">
        <v>1000</v>
      </c>
      <c r="D177" s="16">
        <v>12000</v>
      </c>
      <c r="E177" s="15">
        <v>33.5</v>
      </c>
      <c r="F177" s="14" t="s">
        <v>39</v>
      </c>
      <c r="G177" s="15">
        <v>402</v>
      </c>
    </row>
    <row r="178" spans="1:7" x14ac:dyDescent="0.25">
      <c r="D178" s="16"/>
      <c r="G178" s="15"/>
    </row>
    <row r="179" spans="1:7" x14ac:dyDescent="0.25">
      <c r="A179" s="28">
        <v>46013</v>
      </c>
      <c r="B179" s="14" t="s">
        <v>7</v>
      </c>
      <c r="C179" s="14">
        <v>2500</v>
      </c>
      <c r="D179" s="16">
        <v>12000</v>
      </c>
      <c r="E179" s="15">
        <v>78.958333333333343</v>
      </c>
      <c r="F179" s="14" t="s">
        <v>39</v>
      </c>
      <c r="G179" s="15">
        <v>379</v>
      </c>
    </row>
    <row r="180" spans="1:7" x14ac:dyDescent="0.25">
      <c r="A180" s="28">
        <v>46013</v>
      </c>
      <c r="B180" s="14" t="s">
        <v>12</v>
      </c>
      <c r="C180" s="14">
        <v>1500</v>
      </c>
      <c r="D180" s="16">
        <v>12000</v>
      </c>
      <c r="E180" s="15">
        <v>47.375</v>
      </c>
      <c r="F180" s="14" t="s">
        <v>39</v>
      </c>
      <c r="G180" s="15">
        <v>379</v>
      </c>
    </row>
    <row r="181" spans="1:7" x14ac:dyDescent="0.25">
      <c r="A181" s="28">
        <v>46013</v>
      </c>
      <c r="B181" s="14" t="s">
        <v>14</v>
      </c>
      <c r="C181" s="14">
        <v>500</v>
      </c>
      <c r="D181" s="16">
        <v>12000</v>
      </c>
      <c r="E181" s="15">
        <v>15.791666666666666</v>
      </c>
      <c r="F181" s="14" t="s">
        <v>39</v>
      </c>
      <c r="G181" s="15">
        <v>379</v>
      </c>
    </row>
    <row r="182" spans="1:7" x14ac:dyDescent="0.25">
      <c r="A182" s="28">
        <v>46013</v>
      </c>
      <c r="B182" s="14" t="s">
        <v>17</v>
      </c>
      <c r="C182" s="14">
        <v>1500</v>
      </c>
      <c r="D182" s="16">
        <v>12000</v>
      </c>
      <c r="E182" s="15">
        <v>47.375</v>
      </c>
      <c r="F182" s="14" t="s">
        <v>39</v>
      </c>
      <c r="G182" s="15">
        <v>379</v>
      </c>
    </row>
    <row r="183" spans="1:7" x14ac:dyDescent="0.25">
      <c r="A183" s="28">
        <v>46013</v>
      </c>
      <c r="B183" s="14" t="s">
        <v>19</v>
      </c>
      <c r="C183" s="14">
        <v>1000</v>
      </c>
      <c r="D183" s="16">
        <v>12000</v>
      </c>
      <c r="E183" s="15">
        <v>31.583333333333332</v>
      </c>
      <c r="F183" s="14" t="s">
        <v>39</v>
      </c>
      <c r="G183" s="15">
        <v>379</v>
      </c>
    </row>
    <row r="184" spans="1:7" x14ac:dyDescent="0.25">
      <c r="A184" s="28">
        <v>46013</v>
      </c>
      <c r="B184" s="14" t="s">
        <v>21</v>
      </c>
      <c r="C184" s="14">
        <v>2000</v>
      </c>
      <c r="D184" s="16">
        <v>12000</v>
      </c>
      <c r="E184" s="15">
        <v>63.166666666666664</v>
      </c>
      <c r="F184" s="14" t="s">
        <v>39</v>
      </c>
      <c r="G184" s="15">
        <v>379</v>
      </c>
    </row>
    <row r="185" spans="1:7" x14ac:dyDescent="0.25">
      <c r="A185" s="28">
        <v>46013</v>
      </c>
      <c r="B185" s="14" t="s">
        <v>50</v>
      </c>
      <c r="C185" s="14">
        <v>2000</v>
      </c>
      <c r="D185" s="16">
        <v>12000</v>
      </c>
      <c r="E185" s="15">
        <v>63.166666666666664</v>
      </c>
      <c r="F185" s="14" t="s">
        <v>39</v>
      </c>
      <c r="G185" s="15">
        <v>379</v>
      </c>
    </row>
    <row r="186" spans="1:7" x14ac:dyDescent="0.25">
      <c r="A186" s="28">
        <v>46013</v>
      </c>
      <c r="B186" s="14" t="s">
        <v>59</v>
      </c>
      <c r="C186" s="14">
        <v>1000</v>
      </c>
      <c r="D186" s="16">
        <v>12000</v>
      </c>
      <c r="E186" s="15">
        <v>31.583333333333332</v>
      </c>
      <c r="F186" s="14" t="s">
        <v>39</v>
      </c>
      <c r="G186" s="15">
        <v>379</v>
      </c>
    </row>
    <row r="187" spans="1:7" x14ac:dyDescent="0.25">
      <c r="D187" s="16"/>
      <c r="G187" s="15"/>
    </row>
    <row r="188" spans="1:7" x14ac:dyDescent="0.25">
      <c r="A188" s="28">
        <v>46014</v>
      </c>
      <c r="B188" s="14" t="s">
        <v>7</v>
      </c>
      <c r="C188" s="14">
        <v>2500</v>
      </c>
      <c r="D188" s="16">
        <v>12000</v>
      </c>
      <c r="E188" s="15">
        <v>108.75</v>
      </c>
      <c r="F188" s="14" t="s">
        <v>39</v>
      </c>
      <c r="G188" s="15">
        <v>522</v>
      </c>
    </row>
    <row r="189" spans="1:7" x14ac:dyDescent="0.25">
      <c r="A189" s="28">
        <v>46014</v>
      </c>
      <c r="B189" s="14" t="s">
        <v>12</v>
      </c>
      <c r="C189" s="14">
        <v>1500</v>
      </c>
      <c r="D189" s="16">
        <v>12000</v>
      </c>
      <c r="E189" s="15">
        <v>65.25</v>
      </c>
      <c r="F189" s="14" t="s">
        <v>39</v>
      </c>
      <c r="G189" s="15">
        <v>522</v>
      </c>
    </row>
    <row r="190" spans="1:7" x14ac:dyDescent="0.25">
      <c r="A190" s="28">
        <v>46014</v>
      </c>
      <c r="B190" s="14" t="s">
        <v>14</v>
      </c>
      <c r="C190" s="14">
        <v>500</v>
      </c>
      <c r="D190" s="16">
        <v>12000</v>
      </c>
      <c r="E190" s="15">
        <v>21.75</v>
      </c>
      <c r="F190" s="14" t="s">
        <v>39</v>
      </c>
      <c r="G190" s="15">
        <v>522</v>
      </c>
    </row>
    <row r="191" spans="1:7" x14ac:dyDescent="0.25">
      <c r="A191" s="28">
        <v>46014</v>
      </c>
      <c r="B191" s="14" t="s">
        <v>17</v>
      </c>
      <c r="C191" s="14">
        <v>1500</v>
      </c>
      <c r="D191" s="16">
        <v>12000</v>
      </c>
      <c r="E191" s="15">
        <v>65.25</v>
      </c>
      <c r="F191" s="14" t="s">
        <v>39</v>
      </c>
      <c r="G191" s="15">
        <v>522</v>
      </c>
    </row>
    <row r="192" spans="1:7" x14ac:dyDescent="0.25">
      <c r="A192" s="28">
        <v>46014</v>
      </c>
      <c r="B192" s="14" t="s">
        <v>19</v>
      </c>
      <c r="C192" s="14">
        <v>1000</v>
      </c>
      <c r="D192" s="16">
        <v>12000</v>
      </c>
      <c r="E192" s="15">
        <v>43.5</v>
      </c>
      <c r="F192" s="14" t="s">
        <v>39</v>
      </c>
      <c r="G192" s="15">
        <v>522</v>
      </c>
    </row>
    <row r="193" spans="1:7" x14ac:dyDescent="0.25">
      <c r="A193" s="28">
        <v>46014</v>
      </c>
      <c r="B193" s="14" t="s">
        <v>21</v>
      </c>
      <c r="C193" s="14">
        <v>2000</v>
      </c>
      <c r="D193" s="16">
        <v>12000</v>
      </c>
      <c r="E193" s="15">
        <v>87</v>
      </c>
      <c r="F193" s="14" t="s">
        <v>39</v>
      </c>
      <c r="G193" s="15">
        <v>522</v>
      </c>
    </row>
    <row r="194" spans="1:7" x14ac:dyDescent="0.25">
      <c r="A194" s="28">
        <v>46014</v>
      </c>
      <c r="B194" s="14" t="s">
        <v>50</v>
      </c>
      <c r="C194" s="14">
        <v>2000</v>
      </c>
      <c r="D194" s="16">
        <v>12000</v>
      </c>
      <c r="E194" s="15">
        <v>87</v>
      </c>
      <c r="F194" s="14" t="s">
        <v>39</v>
      </c>
      <c r="G194" s="15">
        <v>522</v>
      </c>
    </row>
    <row r="195" spans="1:7" x14ac:dyDescent="0.25">
      <c r="A195" s="28">
        <v>46014</v>
      </c>
      <c r="B195" s="14" t="s">
        <v>59</v>
      </c>
      <c r="C195" s="14">
        <v>1000</v>
      </c>
      <c r="D195" s="16">
        <v>12000</v>
      </c>
      <c r="E195" s="15">
        <v>43.5</v>
      </c>
      <c r="F195" s="14" t="s">
        <v>39</v>
      </c>
      <c r="G195" s="15">
        <v>522</v>
      </c>
    </row>
    <row r="196" spans="1:7" x14ac:dyDescent="0.25">
      <c r="D196" s="16"/>
      <c r="G196" s="15"/>
    </row>
    <row r="197" spans="1:7" x14ac:dyDescent="0.25">
      <c r="A197" s="28">
        <v>46015</v>
      </c>
      <c r="B197" s="14" t="s">
        <v>7</v>
      </c>
      <c r="C197" s="14">
        <v>2500</v>
      </c>
      <c r="D197" s="16">
        <v>12000</v>
      </c>
      <c r="E197" s="15">
        <v>70.208333333333343</v>
      </c>
      <c r="F197" s="14" t="s">
        <v>39</v>
      </c>
      <c r="G197" s="15">
        <v>337</v>
      </c>
    </row>
    <row r="198" spans="1:7" x14ac:dyDescent="0.25">
      <c r="A198" s="28">
        <v>46015</v>
      </c>
      <c r="B198" s="14" t="s">
        <v>12</v>
      </c>
      <c r="C198" s="14">
        <v>1500</v>
      </c>
      <c r="D198" s="16">
        <v>12000</v>
      </c>
      <c r="E198" s="15">
        <v>42.125</v>
      </c>
      <c r="F198" s="14" t="s">
        <v>39</v>
      </c>
      <c r="G198" s="15">
        <v>337</v>
      </c>
    </row>
    <row r="199" spans="1:7" x14ac:dyDescent="0.25">
      <c r="A199" s="28">
        <v>46015</v>
      </c>
      <c r="B199" s="14" t="s">
        <v>14</v>
      </c>
      <c r="C199" s="14">
        <v>500</v>
      </c>
      <c r="D199" s="16">
        <v>12000</v>
      </c>
      <c r="E199" s="15">
        <v>14.041666666666666</v>
      </c>
      <c r="F199" s="14" t="s">
        <v>39</v>
      </c>
      <c r="G199" s="15">
        <v>337</v>
      </c>
    </row>
    <row r="200" spans="1:7" x14ac:dyDescent="0.25">
      <c r="A200" s="28">
        <v>46015</v>
      </c>
      <c r="B200" s="14" t="s">
        <v>17</v>
      </c>
      <c r="C200" s="14">
        <v>1500</v>
      </c>
      <c r="D200" s="16">
        <v>12000</v>
      </c>
      <c r="E200" s="15">
        <v>42.125</v>
      </c>
      <c r="F200" s="14" t="s">
        <v>39</v>
      </c>
      <c r="G200" s="15">
        <v>337</v>
      </c>
    </row>
    <row r="201" spans="1:7" x14ac:dyDescent="0.25">
      <c r="A201" s="28">
        <v>46015</v>
      </c>
      <c r="B201" s="14" t="s">
        <v>19</v>
      </c>
      <c r="C201" s="14">
        <v>1000</v>
      </c>
      <c r="D201" s="16">
        <v>12000</v>
      </c>
      <c r="E201" s="15">
        <v>28.083333333333332</v>
      </c>
      <c r="F201" s="14" t="s">
        <v>39</v>
      </c>
      <c r="G201" s="15">
        <v>337</v>
      </c>
    </row>
    <row r="202" spans="1:7" x14ac:dyDescent="0.25">
      <c r="A202" s="28">
        <v>46015</v>
      </c>
      <c r="B202" s="14" t="s">
        <v>21</v>
      </c>
      <c r="C202" s="14">
        <v>2000</v>
      </c>
      <c r="D202" s="16">
        <v>12000</v>
      </c>
      <c r="E202" s="15">
        <v>56.166666666666664</v>
      </c>
      <c r="F202" s="14" t="s">
        <v>39</v>
      </c>
      <c r="G202" s="15">
        <v>337</v>
      </c>
    </row>
    <row r="203" spans="1:7" x14ac:dyDescent="0.25">
      <c r="A203" s="28">
        <v>46015</v>
      </c>
      <c r="B203" s="14" t="s">
        <v>50</v>
      </c>
      <c r="C203" s="14">
        <v>2000</v>
      </c>
      <c r="D203" s="16">
        <v>12000</v>
      </c>
      <c r="E203" s="15">
        <v>56.166666666666664</v>
      </c>
      <c r="F203" s="14" t="s">
        <v>39</v>
      </c>
      <c r="G203" s="15">
        <v>337</v>
      </c>
    </row>
    <row r="204" spans="1:7" x14ac:dyDescent="0.25">
      <c r="A204" s="28">
        <v>46015</v>
      </c>
      <c r="B204" s="14" t="s">
        <v>59</v>
      </c>
      <c r="C204" s="14">
        <v>1000</v>
      </c>
      <c r="D204" s="16">
        <v>12000</v>
      </c>
      <c r="E204" s="15">
        <v>28.083333333333332</v>
      </c>
      <c r="F204" s="14" t="s">
        <v>39</v>
      </c>
      <c r="G204" s="15">
        <v>337</v>
      </c>
    </row>
    <row r="205" spans="1:7" x14ac:dyDescent="0.25">
      <c r="D205" s="16"/>
      <c r="G205" s="15"/>
    </row>
    <row r="206" spans="1:7" x14ac:dyDescent="0.25">
      <c r="A206" s="28">
        <v>46016</v>
      </c>
      <c r="B206" s="14" t="s">
        <v>7</v>
      </c>
      <c r="C206" s="14">
        <v>2500</v>
      </c>
      <c r="D206" s="16">
        <v>12000</v>
      </c>
      <c r="E206" s="15">
        <v>88.333333333333343</v>
      </c>
      <c r="F206" s="14" t="s">
        <v>39</v>
      </c>
      <c r="G206" s="15">
        <v>424</v>
      </c>
    </row>
    <row r="207" spans="1:7" x14ac:dyDescent="0.25">
      <c r="A207" s="28">
        <v>46016</v>
      </c>
      <c r="B207" s="14" t="s">
        <v>12</v>
      </c>
      <c r="C207" s="14">
        <v>1500</v>
      </c>
      <c r="D207" s="16">
        <v>12000</v>
      </c>
      <c r="E207" s="15">
        <v>53</v>
      </c>
      <c r="F207" s="14" t="s">
        <v>39</v>
      </c>
      <c r="G207" s="15">
        <v>424</v>
      </c>
    </row>
    <row r="208" spans="1:7" x14ac:dyDescent="0.25">
      <c r="A208" s="28">
        <v>46016</v>
      </c>
      <c r="B208" s="14" t="s">
        <v>14</v>
      </c>
      <c r="C208" s="14">
        <v>500</v>
      </c>
      <c r="D208" s="16">
        <v>12000</v>
      </c>
      <c r="E208" s="15">
        <v>17.666666666666664</v>
      </c>
      <c r="F208" s="14" t="s">
        <v>39</v>
      </c>
      <c r="G208" s="15">
        <v>424</v>
      </c>
    </row>
    <row r="209" spans="1:7" x14ac:dyDescent="0.25">
      <c r="A209" s="28">
        <v>46016</v>
      </c>
      <c r="B209" s="14" t="s">
        <v>17</v>
      </c>
      <c r="C209" s="14">
        <v>1500</v>
      </c>
      <c r="D209" s="16">
        <v>12000</v>
      </c>
      <c r="E209" s="15">
        <v>53</v>
      </c>
      <c r="F209" s="14" t="s">
        <v>39</v>
      </c>
      <c r="G209" s="15">
        <v>424</v>
      </c>
    </row>
    <row r="210" spans="1:7" x14ac:dyDescent="0.25">
      <c r="A210" s="28">
        <v>46016</v>
      </c>
      <c r="B210" s="14" t="s">
        <v>19</v>
      </c>
      <c r="C210" s="14">
        <v>1000</v>
      </c>
      <c r="D210" s="16">
        <v>12000</v>
      </c>
      <c r="E210" s="15">
        <v>35.333333333333329</v>
      </c>
      <c r="F210" s="14" t="s">
        <v>39</v>
      </c>
      <c r="G210" s="15">
        <v>424</v>
      </c>
    </row>
    <row r="211" spans="1:7" x14ac:dyDescent="0.25">
      <c r="A211" s="28">
        <v>46016</v>
      </c>
      <c r="B211" s="14" t="s">
        <v>21</v>
      </c>
      <c r="C211" s="14">
        <v>2000</v>
      </c>
      <c r="D211" s="16">
        <v>12000</v>
      </c>
      <c r="E211" s="15">
        <v>70.666666666666657</v>
      </c>
      <c r="F211" s="14" t="s">
        <v>39</v>
      </c>
      <c r="G211" s="15">
        <v>424</v>
      </c>
    </row>
    <row r="212" spans="1:7" x14ac:dyDescent="0.25">
      <c r="A212" s="28">
        <v>46016</v>
      </c>
      <c r="B212" s="14" t="s">
        <v>50</v>
      </c>
      <c r="C212" s="14">
        <v>2000</v>
      </c>
      <c r="D212" s="16">
        <v>12000</v>
      </c>
      <c r="E212" s="15">
        <v>70.666666666666657</v>
      </c>
      <c r="F212" s="14" t="s">
        <v>39</v>
      </c>
      <c r="G212" s="15">
        <v>424</v>
      </c>
    </row>
    <row r="213" spans="1:7" x14ac:dyDescent="0.25">
      <c r="A213" s="28">
        <v>46016</v>
      </c>
      <c r="B213" s="14" t="s">
        <v>59</v>
      </c>
      <c r="C213" s="14">
        <v>1000</v>
      </c>
      <c r="D213" s="16">
        <v>12000</v>
      </c>
      <c r="E213" s="15">
        <v>35.333333333333329</v>
      </c>
      <c r="F213" s="14" t="s">
        <v>39</v>
      </c>
      <c r="G213" s="15">
        <v>424</v>
      </c>
    </row>
    <row r="214" spans="1:7" x14ac:dyDescent="0.25">
      <c r="D214" s="16"/>
      <c r="G214" s="15"/>
    </row>
    <row r="215" spans="1:7" x14ac:dyDescent="0.25">
      <c r="A215" s="28">
        <v>46017</v>
      </c>
      <c r="B215" s="14" t="s">
        <v>7</v>
      </c>
      <c r="C215" s="14">
        <v>2500</v>
      </c>
      <c r="D215" s="16">
        <v>12000</v>
      </c>
      <c r="E215" s="15">
        <v>72.083333333333343</v>
      </c>
      <c r="F215" s="14" t="s">
        <v>39</v>
      </c>
      <c r="G215" s="15">
        <v>346</v>
      </c>
    </row>
    <row r="216" spans="1:7" x14ac:dyDescent="0.25">
      <c r="A216" s="28">
        <v>46017</v>
      </c>
      <c r="B216" s="14" t="s">
        <v>12</v>
      </c>
      <c r="C216" s="14">
        <v>1500</v>
      </c>
      <c r="D216" s="16">
        <v>12000</v>
      </c>
      <c r="E216" s="15">
        <v>43.25</v>
      </c>
      <c r="F216" s="14" t="s">
        <v>39</v>
      </c>
      <c r="G216" s="15">
        <v>346</v>
      </c>
    </row>
    <row r="217" spans="1:7" x14ac:dyDescent="0.25">
      <c r="A217" s="28">
        <v>46017</v>
      </c>
      <c r="B217" s="14" t="s">
        <v>14</v>
      </c>
      <c r="C217" s="14">
        <v>500</v>
      </c>
      <c r="D217" s="16">
        <v>12000</v>
      </c>
      <c r="E217" s="15">
        <v>14.416666666666666</v>
      </c>
      <c r="F217" s="14" t="s">
        <v>39</v>
      </c>
      <c r="G217" s="15">
        <v>346</v>
      </c>
    </row>
    <row r="218" spans="1:7" x14ac:dyDescent="0.25">
      <c r="A218" s="28">
        <v>46017</v>
      </c>
      <c r="B218" s="14" t="s">
        <v>17</v>
      </c>
      <c r="C218" s="14">
        <v>1500</v>
      </c>
      <c r="D218" s="16">
        <v>12000</v>
      </c>
      <c r="E218" s="15">
        <v>43.25</v>
      </c>
      <c r="F218" s="14" t="s">
        <v>39</v>
      </c>
      <c r="G218" s="15">
        <v>346</v>
      </c>
    </row>
    <row r="219" spans="1:7" x14ac:dyDescent="0.25">
      <c r="A219" s="28">
        <v>46017</v>
      </c>
      <c r="B219" s="14" t="s">
        <v>19</v>
      </c>
      <c r="C219" s="14">
        <v>1000</v>
      </c>
      <c r="D219" s="16">
        <v>12000</v>
      </c>
      <c r="E219" s="15">
        <v>28.833333333333332</v>
      </c>
      <c r="F219" s="14" t="s">
        <v>39</v>
      </c>
      <c r="G219" s="15">
        <v>346</v>
      </c>
    </row>
    <row r="220" spans="1:7" x14ac:dyDescent="0.25">
      <c r="A220" s="28">
        <v>46017</v>
      </c>
      <c r="B220" s="14" t="s">
        <v>21</v>
      </c>
      <c r="C220" s="14">
        <v>2000</v>
      </c>
      <c r="D220" s="16">
        <v>12000</v>
      </c>
      <c r="E220" s="15">
        <v>57.666666666666664</v>
      </c>
      <c r="F220" s="14" t="s">
        <v>39</v>
      </c>
      <c r="G220" s="15">
        <v>346</v>
      </c>
    </row>
    <row r="221" spans="1:7" x14ac:dyDescent="0.25">
      <c r="A221" s="28">
        <v>46017</v>
      </c>
      <c r="B221" s="14" t="s">
        <v>50</v>
      </c>
      <c r="C221" s="14">
        <v>2000</v>
      </c>
      <c r="D221" s="16">
        <v>12000</v>
      </c>
      <c r="E221" s="15">
        <v>57.666666666666664</v>
      </c>
      <c r="F221" s="14" t="s">
        <v>39</v>
      </c>
      <c r="G221" s="15">
        <v>346</v>
      </c>
    </row>
    <row r="222" spans="1:7" x14ac:dyDescent="0.25">
      <c r="A222" s="28">
        <v>46017</v>
      </c>
      <c r="B222" s="14" t="s">
        <v>59</v>
      </c>
      <c r="C222" s="14">
        <v>1000</v>
      </c>
      <c r="D222" s="16">
        <v>12000</v>
      </c>
      <c r="E222" s="15">
        <v>28.833333333333332</v>
      </c>
      <c r="F222" s="14" t="s">
        <v>39</v>
      </c>
      <c r="G222" s="15">
        <v>346</v>
      </c>
    </row>
    <row r="223" spans="1:7" x14ac:dyDescent="0.25">
      <c r="D223" s="16"/>
      <c r="G223" s="15"/>
    </row>
    <row r="224" spans="1:7" x14ac:dyDescent="0.25">
      <c r="A224" s="28">
        <v>46018</v>
      </c>
      <c r="B224" s="14" t="s">
        <v>7</v>
      </c>
      <c r="C224" s="14">
        <v>2500</v>
      </c>
      <c r="D224" s="16">
        <v>12000</v>
      </c>
      <c r="E224" s="15">
        <v>69.375</v>
      </c>
      <c r="F224" s="14" t="s">
        <v>39</v>
      </c>
      <c r="G224" s="15">
        <v>333</v>
      </c>
    </row>
    <row r="225" spans="1:7" x14ac:dyDescent="0.25">
      <c r="A225" s="28">
        <v>46018</v>
      </c>
      <c r="B225" s="14" t="s">
        <v>12</v>
      </c>
      <c r="C225" s="14">
        <v>1500</v>
      </c>
      <c r="D225" s="16">
        <v>12000</v>
      </c>
      <c r="E225" s="15">
        <v>41.625</v>
      </c>
      <c r="F225" s="14" t="s">
        <v>39</v>
      </c>
      <c r="G225" s="15">
        <v>333</v>
      </c>
    </row>
    <row r="226" spans="1:7" x14ac:dyDescent="0.25">
      <c r="A226" s="28">
        <v>46018</v>
      </c>
      <c r="B226" s="14" t="s">
        <v>14</v>
      </c>
      <c r="C226" s="14">
        <v>500</v>
      </c>
      <c r="D226" s="16">
        <v>12000</v>
      </c>
      <c r="E226" s="15">
        <v>13.875</v>
      </c>
      <c r="F226" s="14" t="s">
        <v>39</v>
      </c>
      <c r="G226" s="15">
        <v>333</v>
      </c>
    </row>
    <row r="227" spans="1:7" x14ac:dyDescent="0.25">
      <c r="A227" s="28">
        <v>46018</v>
      </c>
      <c r="B227" s="14" t="s">
        <v>17</v>
      </c>
      <c r="C227" s="14">
        <v>1500</v>
      </c>
      <c r="D227" s="16">
        <v>12000</v>
      </c>
      <c r="E227" s="15">
        <v>41.625</v>
      </c>
      <c r="F227" s="14" t="s">
        <v>39</v>
      </c>
      <c r="G227" s="15">
        <v>333</v>
      </c>
    </row>
    <row r="228" spans="1:7" x14ac:dyDescent="0.25">
      <c r="A228" s="28">
        <v>46018</v>
      </c>
      <c r="B228" s="14" t="s">
        <v>19</v>
      </c>
      <c r="C228" s="14">
        <v>1000</v>
      </c>
      <c r="D228" s="16">
        <v>12000</v>
      </c>
      <c r="E228" s="15">
        <v>27.75</v>
      </c>
      <c r="F228" s="14" t="s">
        <v>39</v>
      </c>
      <c r="G228" s="15">
        <v>333</v>
      </c>
    </row>
    <row r="229" spans="1:7" x14ac:dyDescent="0.25">
      <c r="A229" s="28">
        <v>46018</v>
      </c>
      <c r="B229" s="14" t="s">
        <v>21</v>
      </c>
      <c r="C229" s="14">
        <v>2000</v>
      </c>
      <c r="D229" s="16">
        <v>12000</v>
      </c>
      <c r="E229" s="15">
        <v>55.5</v>
      </c>
      <c r="F229" s="14" t="s">
        <v>39</v>
      </c>
      <c r="G229" s="15">
        <v>333</v>
      </c>
    </row>
    <row r="230" spans="1:7" x14ac:dyDescent="0.25">
      <c r="A230" s="28">
        <v>46018</v>
      </c>
      <c r="B230" s="14" t="s">
        <v>50</v>
      </c>
      <c r="C230" s="14">
        <v>2000</v>
      </c>
      <c r="D230" s="16">
        <v>12000</v>
      </c>
      <c r="E230" s="15">
        <v>55.5</v>
      </c>
      <c r="F230" s="14" t="s">
        <v>39</v>
      </c>
      <c r="G230" s="15">
        <v>333</v>
      </c>
    </row>
    <row r="231" spans="1:7" x14ac:dyDescent="0.25">
      <c r="A231" s="28">
        <v>46018</v>
      </c>
      <c r="B231" s="14" t="s">
        <v>59</v>
      </c>
      <c r="C231" s="14">
        <v>1000</v>
      </c>
      <c r="D231" s="16">
        <v>12000</v>
      </c>
      <c r="E231" s="15">
        <v>27.75</v>
      </c>
      <c r="F231" s="14" t="s">
        <v>39</v>
      </c>
      <c r="G231" s="15">
        <v>333</v>
      </c>
    </row>
    <row r="232" spans="1:7" x14ac:dyDescent="0.25">
      <c r="D232" s="16"/>
      <c r="G232" s="15"/>
    </row>
    <row r="233" spans="1:7" x14ac:dyDescent="0.25">
      <c r="A233" s="28">
        <v>46019</v>
      </c>
      <c r="B233" s="14" t="s">
        <v>7</v>
      </c>
      <c r="C233" s="14">
        <v>2500</v>
      </c>
      <c r="D233" s="16">
        <v>12000</v>
      </c>
      <c r="E233" s="15">
        <v>150</v>
      </c>
      <c r="F233" s="14" t="s">
        <v>39</v>
      </c>
      <c r="G233" s="15">
        <v>720</v>
      </c>
    </row>
    <row r="234" spans="1:7" x14ac:dyDescent="0.25">
      <c r="A234" s="28">
        <v>46019</v>
      </c>
      <c r="B234" s="14" t="s">
        <v>12</v>
      </c>
      <c r="C234" s="14">
        <v>1500</v>
      </c>
      <c r="D234" s="16">
        <v>12000</v>
      </c>
      <c r="E234" s="15">
        <v>90</v>
      </c>
      <c r="F234" s="14" t="s">
        <v>39</v>
      </c>
      <c r="G234" s="15">
        <v>720</v>
      </c>
    </row>
    <row r="235" spans="1:7" x14ac:dyDescent="0.25">
      <c r="A235" s="28">
        <v>46019</v>
      </c>
      <c r="B235" s="14" t="s">
        <v>14</v>
      </c>
      <c r="C235" s="14">
        <v>500</v>
      </c>
      <c r="D235" s="16">
        <v>12000</v>
      </c>
      <c r="E235" s="15">
        <v>30</v>
      </c>
      <c r="F235" s="14" t="s">
        <v>39</v>
      </c>
      <c r="G235" s="15">
        <v>720</v>
      </c>
    </row>
    <row r="236" spans="1:7" x14ac:dyDescent="0.25">
      <c r="A236" s="28">
        <v>46019</v>
      </c>
      <c r="B236" s="14" t="s">
        <v>17</v>
      </c>
      <c r="C236" s="14">
        <v>1500</v>
      </c>
      <c r="D236" s="16">
        <v>12000</v>
      </c>
      <c r="E236" s="15">
        <v>90</v>
      </c>
      <c r="F236" s="14" t="s">
        <v>39</v>
      </c>
      <c r="G236" s="15">
        <v>720</v>
      </c>
    </row>
    <row r="237" spans="1:7" x14ac:dyDescent="0.25">
      <c r="A237" s="28">
        <v>46019</v>
      </c>
      <c r="B237" s="14" t="s">
        <v>19</v>
      </c>
      <c r="C237" s="14">
        <v>1000</v>
      </c>
      <c r="D237" s="16">
        <v>12000</v>
      </c>
      <c r="E237" s="15">
        <v>60</v>
      </c>
      <c r="F237" s="14" t="s">
        <v>39</v>
      </c>
      <c r="G237" s="15">
        <v>720</v>
      </c>
    </row>
    <row r="238" spans="1:7" x14ac:dyDescent="0.25">
      <c r="A238" s="28">
        <v>46019</v>
      </c>
      <c r="B238" s="14" t="s">
        <v>21</v>
      </c>
      <c r="C238" s="14">
        <v>2000</v>
      </c>
      <c r="D238" s="16">
        <v>12000</v>
      </c>
      <c r="E238" s="15">
        <v>120</v>
      </c>
      <c r="F238" s="14" t="s">
        <v>39</v>
      </c>
      <c r="G238" s="15">
        <v>720</v>
      </c>
    </row>
    <row r="239" spans="1:7" x14ac:dyDescent="0.25">
      <c r="A239" s="28">
        <v>46019</v>
      </c>
      <c r="B239" s="14" t="s">
        <v>50</v>
      </c>
      <c r="C239" s="14">
        <v>2000</v>
      </c>
      <c r="D239" s="16">
        <v>12000</v>
      </c>
      <c r="E239" s="15">
        <v>120</v>
      </c>
      <c r="F239" s="14" t="s">
        <v>39</v>
      </c>
      <c r="G239" s="15">
        <v>720</v>
      </c>
    </row>
    <row r="240" spans="1:7" x14ac:dyDescent="0.25">
      <c r="A240" s="28">
        <v>46019</v>
      </c>
      <c r="B240" s="14" t="s">
        <v>59</v>
      </c>
      <c r="C240" s="14">
        <v>1000</v>
      </c>
      <c r="D240" s="16">
        <v>12000</v>
      </c>
      <c r="E240" s="15">
        <v>60</v>
      </c>
      <c r="F240" s="14" t="s">
        <v>39</v>
      </c>
      <c r="G240" s="15">
        <v>720</v>
      </c>
    </row>
    <row r="241" spans="1:7" x14ac:dyDescent="0.25">
      <c r="D241" s="16"/>
      <c r="G241" s="15"/>
    </row>
    <row r="242" spans="1:7" x14ac:dyDescent="0.25">
      <c r="A242" s="28">
        <v>46020</v>
      </c>
      <c r="B242" s="14" t="s">
        <v>7</v>
      </c>
      <c r="C242" s="14">
        <v>3500</v>
      </c>
      <c r="D242" s="16">
        <v>13000</v>
      </c>
      <c r="E242" s="15">
        <v>200.57692307692307</v>
      </c>
      <c r="F242" s="14" t="s">
        <v>79</v>
      </c>
      <c r="G242" s="15">
        <v>745</v>
      </c>
    </row>
    <row r="243" spans="1:7" x14ac:dyDescent="0.25">
      <c r="A243" s="28">
        <v>46020</v>
      </c>
      <c r="B243" s="14" t="s">
        <v>12</v>
      </c>
      <c r="C243" s="14">
        <v>1500</v>
      </c>
      <c r="D243" s="16">
        <v>13000</v>
      </c>
      <c r="E243" s="15">
        <v>85.961538461538467</v>
      </c>
      <c r="F243" s="14" t="s">
        <v>79</v>
      </c>
      <c r="G243" s="15">
        <v>745</v>
      </c>
    </row>
    <row r="244" spans="1:7" x14ac:dyDescent="0.25">
      <c r="A244" s="28">
        <v>46020</v>
      </c>
      <c r="B244" s="14" t="s">
        <v>14</v>
      </c>
      <c r="C244" s="14">
        <v>500</v>
      </c>
      <c r="D244" s="16">
        <v>13000</v>
      </c>
      <c r="E244" s="15">
        <v>28.653846153846157</v>
      </c>
      <c r="F244" s="14" t="s">
        <v>79</v>
      </c>
      <c r="G244" s="15">
        <v>745</v>
      </c>
    </row>
    <row r="245" spans="1:7" x14ac:dyDescent="0.25">
      <c r="A245" s="28">
        <v>46020</v>
      </c>
      <c r="B245" s="14" t="s">
        <v>17</v>
      </c>
      <c r="C245" s="14">
        <v>1500</v>
      </c>
      <c r="D245" s="16">
        <v>13000</v>
      </c>
      <c r="E245" s="15">
        <v>85.961538461538467</v>
      </c>
      <c r="F245" s="14" t="s">
        <v>79</v>
      </c>
      <c r="G245" s="15">
        <v>745</v>
      </c>
    </row>
    <row r="246" spans="1:7" x14ac:dyDescent="0.25">
      <c r="A246" s="28">
        <v>46020</v>
      </c>
      <c r="B246" s="14" t="s">
        <v>19</v>
      </c>
      <c r="C246" s="14">
        <v>1000</v>
      </c>
      <c r="D246" s="16">
        <v>13000</v>
      </c>
      <c r="E246" s="15">
        <v>57.307692307692314</v>
      </c>
      <c r="F246" s="14" t="s">
        <v>79</v>
      </c>
      <c r="G246" s="15">
        <v>745</v>
      </c>
    </row>
    <row r="247" spans="1:7" x14ac:dyDescent="0.25">
      <c r="A247" s="28">
        <v>46020</v>
      </c>
      <c r="B247" s="14" t="s">
        <v>21</v>
      </c>
      <c r="C247" s="14">
        <v>2000</v>
      </c>
      <c r="D247" s="16">
        <v>13000</v>
      </c>
      <c r="E247" s="15">
        <v>114.61538461538463</v>
      </c>
      <c r="F247" s="14" t="s">
        <v>79</v>
      </c>
      <c r="G247" s="15">
        <v>745</v>
      </c>
    </row>
    <row r="248" spans="1:7" x14ac:dyDescent="0.25">
      <c r="A248" s="28">
        <v>46020</v>
      </c>
      <c r="B248" s="14" t="s">
        <v>50</v>
      </c>
      <c r="C248" s="14">
        <v>2000</v>
      </c>
      <c r="D248" s="16">
        <v>13000</v>
      </c>
      <c r="E248" s="15">
        <v>114.61538461538463</v>
      </c>
      <c r="F248" s="14" t="s">
        <v>79</v>
      </c>
      <c r="G248" s="15">
        <v>745</v>
      </c>
    </row>
    <row r="249" spans="1:7" x14ac:dyDescent="0.25">
      <c r="A249" s="28">
        <v>46020</v>
      </c>
      <c r="B249" s="14" t="s">
        <v>59</v>
      </c>
      <c r="C249" s="14">
        <v>1000</v>
      </c>
      <c r="D249" s="16">
        <v>13000</v>
      </c>
      <c r="E249" s="15">
        <v>57.307692307692314</v>
      </c>
      <c r="F249" s="14" t="s">
        <v>79</v>
      </c>
      <c r="G249" s="15">
        <v>745</v>
      </c>
    </row>
    <row r="250" spans="1:7" x14ac:dyDescent="0.25">
      <c r="D250" s="16"/>
      <c r="G250" s="15"/>
    </row>
    <row r="251" spans="1:7" x14ac:dyDescent="0.25">
      <c r="A251" s="28">
        <v>46021</v>
      </c>
      <c r="B251" s="14" t="s">
        <v>7</v>
      </c>
      <c r="C251" s="14">
        <v>3500</v>
      </c>
      <c r="D251" s="16">
        <v>13000</v>
      </c>
      <c r="F251" s="14" t="s">
        <v>79</v>
      </c>
      <c r="G251" s="15">
        <v>0</v>
      </c>
    </row>
    <row r="252" spans="1:7" x14ac:dyDescent="0.25">
      <c r="A252" s="28">
        <v>46021</v>
      </c>
      <c r="B252" s="14" t="s">
        <v>12</v>
      </c>
      <c r="C252" s="14">
        <v>1500</v>
      </c>
      <c r="D252" s="16">
        <v>13000</v>
      </c>
      <c r="F252" s="14" t="s">
        <v>79</v>
      </c>
      <c r="G252" s="15">
        <v>0</v>
      </c>
    </row>
    <row r="253" spans="1:7" x14ac:dyDescent="0.25">
      <c r="A253" s="28">
        <v>46021</v>
      </c>
      <c r="B253" s="14" t="s">
        <v>14</v>
      </c>
      <c r="C253" s="14">
        <v>500</v>
      </c>
      <c r="D253" s="16">
        <v>13000</v>
      </c>
      <c r="F253" s="14" t="s">
        <v>79</v>
      </c>
      <c r="G253" s="15">
        <v>0</v>
      </c>
    </row>
    <row r="254" spans="1:7" x14ac:dyDescent="0.25">
      <c r="A254" s="28">
        <v>46021</v>
      </c>
      <c r="B254" s="14" t="s">
        <v>17</v>
      </c>
      <c r="C254" s="14">
        <v>1500</v>
      </c>
      <c r="D254" s="16">
        <v>13000</v>
      </c>
      <c r="F254" s="14" t="s">
        <v>79</v>
      </c>
      <c r="G254" s="15">
        <v>0</v>
      </c>
    </row>
    <row r="255" spans="1:7" x14ac:dyDescent="0.25">
      <c r="A255" s="28">
        <v>46021</v>
      </c>
      <c r="B255" s="14" t="s">
        <v>19</v>
      </c>
      <c r="C255" s="14">
        <v>1000</v>
      </c>
      <c r="D255" s="16">
        <v>13000</v>
      </c>
      <c r="F255" s="14" t="s">
        <v>79</v>
      </c>
      <c r="G255" s="15">
        <v>0</v>
      </c>
    </row>
    <row r="256" spans="1:7" x14ac:dyDescent="0.25">
      <c r="A256" s="28">
        <v>46021</v>
      </c>
      <c r="B256" s="14" t="s">
        <v>21</v>
      </c>
      <c r="C256" s="14">
        <v>2000</v>
      </c>
      <c r="D256" s="16">
        <v>13000</v>
      </c>
      <c r="F256" s="14" t="s">
        <v>79</v>
      </c>
      <c r="G256" s="15">
        <v>0</v>
      </c>
    </row>
    <row r="257" spans="1:7" x14ac:dyDescent="0.25">
      <c r="A257" s="28">
        <v>46021</v>
      </c>
      <c r="B257" s="14" t="s">
        <v>50</v>
      </c>
      <c r="C257" s="14">
        <v>2000</v>
      </c>
      <c r="D257" s="16">
        <v>13000</v>
      </c>
      <c r="F257" s="14" t="s">
        <v>79</v>
      </c>
      <c r="G257" s="15">
        <v>0</v>
      </c>
    </row>
    <row r="258" spans="1:7" x14ac:dyDescent="0.25">
      <c r="A258" s="28">
        <v>46021</v>
      </c>
      <c r="B258" s="14" t="s">
        <v>59</v>
      </c>
      <c r="C258" s="14">
        <v>1000</v>
      </c>
      <c r="D258" s="16">
        <v>13000</v>
      </c>
      <c r="F258" s="14" t="s">
        <v>79</v>
      </c>
      <c r="G258" s="15">
        <v>0</v>
      </c>
    </row>
    <row r="259" spans="1:7" x14ac:dyDescent="0.25">
      <c r="D259" s="16"/>
      <c r="G259" s="15"/>
    </row>
    <row r="260" spans="1:7" x14ac:dyDescent="0.25">
      <c r="A260" s="28">
        <v>46022</v>
      </c>
      <c r="B260" s="14" t="s">
        <v>7</v>
      </c>
      <c r="C260" s="14">
        <v>3500</v>
      </c>
      <c r="D260" s="16"/>
      <c r="G260" s="15"/>
    </row>
    <row r="261" spans="1:7" x14ac:dyDescent="0.25">
      <c r="A261" s="28">
        <v>46022</v>
      </c>
      <c r="B261" s="14" t="s">
        <v>12</v>
      </c>
      <c r="C261" s="14">
        <v>1500</v>
      </c>
      <c r="D261" s="16"/>
      <c r="G261" s="15"/>
    </row>
    <row r="262" spans="1:7" x14ac:dyDescent="0.25">
      <c r="A262" s="28">
        <v>46022</v>
      </c>
      <c r="B262" s="14" t="s">
        <v>14</v>
      </c>
      <c r="C262" s="14">
        <v>500</v>
      </c>
      <c r="D262" s="16"/>
      <c r="G262" s="15"/>
    </row>
    <row r="263" spans="1:7" x14ac:dyDescent="0.25">
      <c r="A263" s="28">
        <v>46022</v>
      </c>
      <c r="B263" s="14" t="s">
        <v>17</v>
      </c>
      <c r="C263" s="14">
        <v>1500</v>
      </c>
      <c r="D263" s="16"/>
      <c r="G263" s="15"/>
    </row>
    <row r="264" spans="1:7" x14ac:dyDescent="0.25">
      <c r="A264" s="28">
        <v>46022</v>
      </c>
      <c r="B264" s="14" t="s">
        <v>19</v>
      </c>
      <c r="C264" s="14">
        <v>1000</v>
      </c>
      <c r="D264" s="16"/>
      <c r="G264" s="15"/>
    </row>
    <row r="265" spans="1:7" x14ac:dyDescent="0.25">
      <c r="A265" s="28">
        <v>46022</v>
      </c>
      <c r="B265" s="14" t="s">
        <v>21</v>
      </c>
      <c r="C265" s="14">
        <v>2000</v>
      </c>
      <c r="D265" s="16"/>
      <c r="G265" s="15"/>
    </row>
    <row r="266" spans="1:7" x14ac:dyDescent="0.25">
      <c r="A266" s="28">
        <v>46022</v>
      </c>
      <c r="B266" s="14" t="s">
        <v>50</v>
      </c>
      <c r="C266" s="14">
        <v>2000</v>
      </c>
      <c r="D266" s="16"/>
      <c r="G266" s="15"/>
    </row>
    <row r="267" spans="1:7" x14ac:dyDescent="0.25">
      <c r="A267" s="28">
        <v>46022</v>
      </c>
      <c r="B267" s="14" t="s">
        <v>59</v>
      </c>
      <c r="C267" s="14">
        <v>1000</v>
      </c>
      <c r="D267" s="16"/>
      <c r="G267" s="15"/>
    </row>
    <row r="268" spans="1:7" x14ac:dyDescent="0.25">
      <c r="A268" s="28">
        <v>46022</v>
      </c>
      <c r="B268" s="14" t="s">
        <v>81</v>
      </c>
      <c r="C268" s="14">
        <v>1000</v>
      </c>
      <c r="D268" s="16"/>
      <c r="G268" s="15"/>
    </row>
    <row r="269" spans="1:7" x14ac:dyDescent="0.25">
      <c r="D269" s="16"/>
      <c r="G269" s="15"/>
    </row>
    <row r="270" spans="1:7" x14ac:dyDescent="0.25">
      <c r="D270" s="16"/>
      <c r="G270" s="15"/>
    </row>
    <row r="271" spans="1:7" x14ac:dyDescent="0.25">
      <c r="D271" s="16"/>
      <c r="G271" s="15"/>
    </row>
    <row r="272" spans="1:7" x14ac:dyDescent="0.25">
      <c r="D272" s="16"/>
      <c r="G272" s="15"/>
    </row>
    <row r="273" spans="4:7" x14ac:dyDescent="0.25">
      <c r="D273" s="16"/>
      <c r="G273" s="15"/>
    </row>
    <row r="274" spans="4:7" x14ac:dyDescent="0.25">
      <c r="D274" s="16"/>
      <c r="G274" s="15"/>
    </row>
    <row r="275" spans="4:7" x14ac:dyDescent="0.25">
      <c r="D275" s="16"/>
      <c r="G275" s="15"/>
    </row>
    <row r="276" spans="4:7" x14ac:dyDescent="0.25">
      <c r="D276" s="16"/>
      <c r="G276" s="15"/>
    </row>
    <row r="277" spans="4:7" x14ac:dyDescent="0.25">
      <c r="D277" s="16"/>
      <c r="G277" s="15"/>
    </row>
    <row r="278" spans="4:7" x14ac:dyDescent="0.25">
      <c r="D278" s="16"/>
      <c r="G278" s="15"/>
    </row>
    <row r="279" spans="4:7" x14ac:dyDescent="0.25">
      <c r="D279" s="16"/>
      <c r="G279" s="15"/>
    </row>
    <row r="280" spans="4:7" x14ac:dyDescent="0.25">
      <c r="D280" s="16"/>
      <c r="G280" s="15"/>
    </row>
    <row r="281" spans="4:7" x14ac:dyDescent="0.25">
      <c r="D281" s="16"/>
      <c r="G281" s="15"/>
    </row>
    <row r="282" spans="4:7" x14ac:dyDescent="0.25">
      <c r="D282" s="16"/>
      <c r="G282" s="15"/>
    </row>
    <row r="283" spans="4:7" x14ac:dyDescent="0.25">
      <c r="D283" s="16"/>
      <c r="G283" s="15"/>
    </row>
    <row r="284" spans="4:7" x14ac:dyDescent="0.25">
      <c r="D284" s="16"/>
      <c r="G284" s="15"/>
    </row>
    <row r="285" spans="4:7" x14ac:dyDescent="0.25">
      <c r="D285" s="16"/>
      <c r="G285" s="15"/>
    </row>
    <row r="286" spans="4:7" x14ac:dyDescent="0.25">
      <c r="D286" s="16"/>
      <c r="G286" s="15"/>
    </row>
    <row r="287" spans="4:7" x14ac:dyDescent="0.25">
      <c r="D287" s="16"/>
      <c r="G287" s="15"/>
    </row>
    <row r="288" spans="4:7" x14ac:dyDescent="0.25">
      <c r="D288" s="16"/>
      <c r="G288" s="15"/>
    </row>
    <row r="289" spans="4:7" x14ac:dyDescent="0.25">
      <c r="D289" s="16"/>
      <c r="G289" s="15"/>
    </row>
    <row r="290" spans="4:7" x14ac:dyDescent="0.25">
      <c r="D290" s="16"/>
      <c r="G290" s="15"/>
    </row>
    <row r="291" spans="4:7" x14ac:dyDescent="0.25">
      <c r="D291" s="16"/>
      <c r="G291" s="15"/>
    </row>
    <row r="292" spans="4:7" x14ac:dyDescent="0.25">
      <c r="D292" s="16"/>
      <c r="G292" s="15"/>
    </row>
    <row r="293" spans="4:7" x14ac:dyDescent="0.25">
      <c r="D293" s="16"/>
      <c r="G293" s="15"/>
    </row>
    <row r="294" spans="4:7" x14ac:dyDescent="0.25">
      <c r="D294" s="16"/>
      <c r="G294" s="15"/>
    </row>
    <row r="295" spans="4:7" x14ac:dyDescent="0.25">
      <c r="D295" s="16"/>
      <c r="G295" s="15"/>
    </row>
    <row r="296" spans="4:7" x14ac:dyDescent="0.25">
      <c r="D296" s="16"/>
      <c r="G296" s="15"/>
    </row>
    <row r="297" spans="4:7" x14ac:dyDescent="0.25">
      <c r="D297" s="16"/>
      <c r="G297" s="15"/>
    </row>
    <row r="298" spans="4:7" x14ac:dyDescent="0.25">
      <c r="D298" s="16"/>
      <c r="G298" s="15"/>
    </row>
    <row r="299" spans="4:7" x14ac:dyDescent="0.25">
      <c r="D299" s="16"/>
      <c r="G299" s="15"/>
    </row>
    <row r="300" spans="4:7" x14ac:dyDescent="0.25">
      <c r="D300" s="16"/>
      <c r="G300" s="15"/>
    </row>
    <row r="301" spans="4:7" x14ac:dyDescent="0.25">
      <c r="D301" s="16"/>
      <c r="G301" s="15"/>
    </row>
    <row r="302" spans="4:7" x14ac:dyDescent="0.25">
      <c r="D302" s="16"/>
      <c r="G302" s="15"/>
    </row>
    <row r="303" spans="4:7" x14ac:dyDescent="0.25">
      <c r="D303" s="16"/>
      <c r="G303" s="15"/>
    </row>
    <row r="304" spans="4:7" x14ac:dyDescent="0.25">
      <c r="D304" s="16"/>
      <c r="G304" s="15"/>
    </row>
    <row r="305" spans="4:7" x14ac:dyDescent="0.25">
      <c r="D305" s="16"/>
      <c r="G305" s="15"/>
    </row>
    <row r="306" spans="4:7" x14ac:dyDescent="0.25">
      <c r="D306" s="16"/>
      <c r="G306" s="15"/>
    </row>
    <row r="307" spans="4:7" x14ac:dyDescent="0.25">
      <c r="D307" s="16"/>
      <c r="G307" s="15"/>
    </row>
    <row r="308" spans="4:7" x14ac:dyDescent="0.25">
      <c r="D308" s="16"/>
      <c r="G308" s="15"/>
    </row>
    <row r="309" spans="4:7" x14ac:dyDescent="0.25">
      <c r="D309" s="16"/>
      <c r="G309" s="15"/>
    </row>
    <row r="310" spans="4:7" x14ac:dyDescent="0.25">
      <c r="D310" s="16"/>
      <c r="G310" s="15"/>
    </row>
    <row r="311" spans="4:7" x14ac:dyDescent="0.25">
      <c r="D311" s="16"/>
      <c r="G311" s="15"/>
    </row>
    <row r="312" spans="4:7" x14ac:dyDescent="0.25">
      <c r="D312" s="16"/>
      <c r="G312" s="15"/>
    </row>
    <row r="313" spans="4:7" x14ac:dyDescent="0.25">
      <c r="D313" s="16"/>
      <c r="G313" s="15"/>
    </row>
    <row r="314" spans="4:7" x14ac:dyDescent="0.25">
      <c r="D314" s="16"/>
      <c r="G314" s="15"/>
    </row>
    <row r="315" spans="4:7" x14ac:dyDescent="0.25">
      <c r="D315" s="16"/>
      <c r="G315" s="15"/>
    </row>
    <row r="316" spans="4:7" x14ac:dyDescent="0.25">
      <c r="D316" s="16"/>
      <c r="G316" s="15"/>
    </row>
    <row r="317" spans="4:7" x14ac:dyDescent="0.25">
      <c r="D317" s="16"/>
      <c r="G317" s="15"/>
    </row>
    <row r="318" spans="4:7" x14ac:dyDescent="0.25">
      <c r="D318" s="16"/>
      <c r="G318" s="15"/>
    </row>
    <row r="319" spans="4:7" x14ac:dyDescent="0.25">
      <c r="D319" s="16"/>
      <c r="G319" s="15"/>
    </row>
    <row r="320" spans="4:7" x14ac:dyDescent="0.25">
      <c r="D320" s="16"/>
      <c r="G320" s="15"/>
    </row>
    <row r="321" spans="4:7" x14ac:dyDescent="0.25">
      <c r="D321" s="16"/>
      <c r="G321" s="15"/>
    </row>
    <row r="322" spans="4:7" x14ac:dyDescent="0.25">
      <c r="D322" s="16"/>
      <c r="G322" s="15"/>
    </row>
    <row r="323" spans="4:7" x14ac:dyDescent="0.25">
      <c r="D323" s="16"/>
      <c r="G323" s="15"/>
    </row>
    <row r="324" spans="4:7" x14ac:dyDescent="0.25">
      <c r="D324" s="16"/>
      <c r="G324" s="15"/>
    </row>
    <row r="325" spans="4:7" x14ac:dyDescent="0.25">
      <c r="D325" s="16"/>
      <c r="G325" s="15"/>
    </row>
    <row r="326" spans="4:7" x14ac:dyDescent="0.25">
      <c r="D326" s="16"/>
      <c r="G326" s="15"/>
    </row>
    <row r="327" spans="4:7" x14ac:dyDescent="0.25">
      <c r="D327" s="16"/>
      <c r="G327" s="15"/>
    </row>
    <row r="328" spans="4:7" x14ac:dyDescent="0.25">
      <c r="D328" s="16"/>
      <c r="G328" s="15"/>
    </row>
    <row r="329" spans="4:7" x14ac:dyDescent="0.25">
      <c r="D329" s="16"/>
      <c r="G329" s="15"/>
    </row>
    <row r="330" spans="4:7" x14ac:dyDescent="0.25">
      <c r="D330" s="16"/>
      <c r="G330" s="15"/>
    </row>
    <row r="331" spans="4:7" x14ac:dyDescent="0.25">
      <c r="D331" s="16"/>
      <c r="G331" s="15"/>
    </row>
    <row r="332" spans="4:7" x14ac:dyDescent="0.25">
      <c r="D332" s="16"/>
      <c r="G332" s="15"/>
    </row>
    <row r="333" spans="4:7" x14ac:dyDescent="0.25">
      <c r="D333" s="16"/>
      <c r="G333" s="15"/>
    </row>
    <row r="334" spans="4:7" x14ac:dyDescent="0.25">
      <c r="D334" s="16"/>
      <c r="G334" s="15"/>
    </row>
    <row r="335" spans="4:7" x14ac:dyDescent="0.25">
      <c r="D335" s="16"/>
      <c r="G335" s="15"/>
    </row>
    <row r="336" spans="4:7" x14ac:dyDescent="0.25">
      <c r="D336" s="16"/>
      <c r="G336" s="15"/>
    </row>
    <row r="337" spans="4:7" x14ac:dyDescent="0.25">
      <c r="D337" s="16"/>
      <c r="G337" s="15"/>
    </row>
    <row r="338" spans="4:7" x14ac:dyDescent="0.25">
      <c r="D338" s="16"/>
      <c r="G338" s="15"/>
    </row>
    <row r="339" spans="4:7" x14ac:dyDescent="0.25">
      <c r="D339" s="16"/>
      <c r="G339" s="15"/>
    </row>
    <row r="340" spans="4:7" x14ac:dyDescent="0.25">
      <c r="D340" s="16"/>
      <c r="G340" s="15"/>
    </row>
    <row r="341" spans="4:7" x14ac:dyDescent="0.25">
      <c r="D341" s="16"/>
      <c r="G341" s="15"/>
    </row>
    <row r="342" spans="4:7" x14ac:dyDescent="0.25">
      <c r="D342" s="16"/>
      <c r="G342" s="15"/>
    </row>
    <row r="343" spans="4:7" x14ac:dyDescent="0.25">
      <c r="D343" s="16"/>
      <c r="G343" s="15"/>
    </row>
    <row r="344" spans="4:7" x14ac:dyDescent="0.25">
      <c r="D344" s="16"/>
      <c r="G344" s="15"/>
    </row>
    <row r="345" spans="4:7" x14ac:dyDescent="0.25">
      <c r="D345" s="16"/>
      <c r="G345" s="15"/>
    </row>
    <row r="346" spans="4:7" x14ac:dyDescent="0.25">
      <c r="D346" s="16"/>
      <c r="G346" s="15"/>
    </row>
    <row r="347" spans="4:7" x14ac:dyDescent="0.25">
      <c r="D347" s="16"/>
      <c r="G347" s="15"/>
    </row>
    <row r="348" spans="4:7" x14ac:dyDescent="0.25">
      <c r="D348" s="16"/>
      <c r="G348" s="15"/>
    </row>
    <row r="349" spans="4:7" x14ac:dyDescent="0.25">
      <c r="D349" s="16"/>
      <c r="G349" s="15"/>
    </row>
    <row r="350" spans="4:7" x14ac:dyDescent="0.25">
      <c r="D350" s="16"/>
      <c r="G350" s="15"/>
    </row>
    <row r="351" spans="4:7" x14ac:dyDescent="0.25">
      <c r="D351" s="16"/>
      <c r="G351" s="15"/>
    </row>
    <row r="352" spans="4:7" x14ac:dyDescent="0.25">
      <c r="D352" s="16"/>
      <c r="G352" s="15"/>
    </row>
    <row r="353" spans="4:7" x14ac:dyDescent="0.25">
      <c r="D353" s="16"/>
      <c r="G353" s="15"/>
    </row>
    <row r="354" spans="4:7" x14ac:dyDescent="0.25">
      <c r="D354" s="16"/>
      <c r="G354" s="15"/>
    </row>
    <row r="355" spans="4:7" x14ac:dyDescent="0.25">
      <c r="D355" s="16"/>
      <c r="G355" s="15"/>
    </row>
    <row r="356" spans="4:7" x14ac:dyDescent="0.25">
      <c r="D356" s="16"/>
      <c r="G356" s="15"/>
    </row>
    <row r="357" spans="4:7" x14ac:dyDescent="0.25">
      <c r="D357" s="16"/>
      <c r="G357" s="15"/>
    </row>
    <row r="358" spans="4:7" x14ac:dyDescent="0.25">
      <c r="D358" s="16"/>
      <c r="G358" s="15"/>
    </row>
    <row r="359" spans="4:7" x14ac:dyDescent="0.25">
      <c r="D359" s="16"/>
      <c r="G359" s="15"/>
    </row>
    <row r="360" spans="4:7" x14ac:dyDescent="0.25">
      <c r="D360" s="16"/>
      <c r="G360" s="15"/>
    </row>
    <row r="361" spans="4:7" x14ac:dyDescent="0.25">
      <c r="D361" s="16"/>
      <c r="G361" s="15"/>
    </row>
    <row r="362" spans="4:7" x14ac:dyDescent="0.25">
      <c r="D362" s="16"/>
      <c r="G362" s="15"/>
    </row>
    <row r="363" spans="4:7" x14ac:dyDescent="0.25">
      <c r="D363" s="16"/>
      <c r="G363" s="15"/>
    </row>
    <row r="364" spans="4:7" x14ac:dyDescent="0.25">
      <c r="D364" s="16"/>
      <c r="G364" s="15"/>
    </row>
    <row r="365" spans="4:7" x14ac:dyDescent="0.25">
      <c r="D365" s="16"/>
      <c r="G365" s="15"/>
    </row>
    <row r="366" spans="4:7" x14ac:dyDescent="0.25">
      <c r="D366" s="16"/>
      <c r="G366" s="15"/>
    </row>
    <row r="367" spans="4:7" x14ac:dyDescent="0.25">
      <c r="D367" s="16"/>
      <c r="G367" s="15"/>
    </row>
    <row r="368" spans="4:7" x14ac:dyDescent="0.25">
      <c r="D368" s="16"/>
      <c r="G368" s="15"/>
    </row>
    <row r="369" spans="4:7" x14ac:dyDescent="0.25">
      <c r="D369" s="16"/>
      <c r="G369" s="15"/>
    </row>
    <row r="370" spans="4:7" x14ac:dyDescent="0.25">
      <c r="D370" s="16"/>
      <c r="G370" s="15"/>
    </row>
    <row r="371" spans="4:7" x14ac:dyDescent="0.25">
      <c r="D371" s="16"/>
      <c r="G371" s="15"/>
    </row>
    <row r="372" spans="4:7" x14ac:dyDescent="0.25">
      <c r="D372" s="16"/>
      <c r="G372" s="15"/>
    </row>
    <row r="373" spans="4:7" x14ac:dyDescent="0.25">
      <c r="D373" s="16"/>
      <c r="G373" s="15"/>
    </row>
    <row r="374" spans="4:7" x14ac:dyDescent="0.25">
      <c r="D374" s="16"/>
      <c r="G374" s="15"/>
    </row>
    <row r="375" spans="4:7" x14ac:dyDescent="0.25">
      <c r="D375" s="16"/>
      <c r="G375" s="15"/>
    </row>
    <row r="376" spans="4:7" x14ac:dyDescent="0.25">
      <c r="D376" s="16"/>
      <c r="G376" s="15"/>
    </row>
    <row r="377" spans="4:7" x14ac:dyDescent="0.25">
      <c r="D377" s="16"/>
      <c r="G377" s="15"/>
    </row>
    <row r="378" spans="4:7" x14ac:dyDescent="0.25">
      <c r="D378" s="16"/>
      <c r="G378" s="15"/>
    </row>
    <row r="379" spans="4:7" x14ac:dyDescent="0.25">
      <c r="D379" s="16"/>
      <c r="G379" s="15"/>
    </row>
    <row r="380" spans="4:7" x14ac:dyDescent="0.25">
      <c r="D380" s="16"/>
      <c r="G380" s="15"/>
    </row>
    <row r="381" spans="4:7" x14ac:dyDescent="0.25">
      <c r="D381" s="16"/>
      <c r="G381" s="15"/>
    </row>
    <row r="382" spans="4:7" x14ac:dyDescent="0.25">
      <c r="D382" s="16"/>
      <c r="G382" s="15"/>
    </row>
    <row r="383" spans="4:7" x14ac:dyDescent="0.25">
      <c r="D383" s="16"/>
      <c r="G383" s="15"/>
    </row>
    <row r="384" spans="4:7" x14ac:dyDescent="0.25">
      <c r="D384" s="16"/>
      <c r="G384" s="15"/>
    </row>
    <row r="385" spans="4:7" x14ac:dyDescent="0.25">
      <c r="D385" s="16"/>
      <c r="G385" s="15"/>
    </row>
    <row r="386" spans="4:7" x14ac:dyDescent="0.25">
      <c r="D386" s="16"/>
      <c r="G386" s="15"/>
    </row>
    <row r="387" spans="4:7" x14ac:dyDescent="0.25">
      <c r="D387" s="16"/>
      <c r="G387" s="15"/>
    </row>
    <row r="388" spans="4:7" x14ac:dyDescent="0.25">
      <c r="D388" s="16"/>
      <c r="G388" s="15"/>
    </row>
    <row r="389" spans="4:7" x14ac:dyDescent="0.25">
      <c r="D389" s="16"/>
      <c r="G389" s="15"/>
    </row>
    <row r="390" spans="4:7" x14ac:dyDescent="0.25">
      <c r="D390" s="16"/>
      <c r="G390" s="15"/>
    </row>
    <row r="391" spans="4:7" x14ac:dyDescent="0.25">
      <c r="D391" s="16"/>
      <c r="G391" s="15"/>
    </row>
    <row r="392" spans="4:7" x14ac:dyDescent="0.25">
      <c r="D392" s="16"/>
      <c r="G392" s="15"/>
    </row>
    <row r="393" spans="4:7" x14ac:dyDescent="0.25">
      <c r="D393" s="16"/>
      <c r="G393" s="15"/>
    </row>
    <row r="394" spans="4:7" x14ac:dyDescent="0.25">
      <c r="D394" s="16"/>
      <c r="G394" s="15"/>
    </row>
    <row r="395" spans="4:7" x14ac:dyDescent="0.25">
      <c r="D395" s="16"/>
      <c r="G395" s="15"/>
    </row>
    <row r="396" spans="4:7" x14ac:dyDescent="0.25">
      <c r="D396" s="16"/>
      <c r="G396" s="15"/>
    </row>
    <row r="397" spans="4:7" x14ac:dyDescent="0.25">
      <c r="D397" s="16"/>
      <c r="G397" s="15"/>
    </row>
    <row r="398" spans="4:7" x14ac:dyDescent="0.25">
      <c r="D398" s="16"/>
      <c r="G398" s="15"/>
    </row>
    <row r="399" spans="4:7" x14ac:dyDescent="0.25">
      <c r="D399" s="16"/>
      <c r="G399" s="15"/>
    </row>
    <row r="400" spans="4:7" x14ac:dyDescent="0.25">
      <c r="D400" s="16"/>
      <c r="G400" s="15"/>
    </row>
    <row r="401" spans="4:7" x14ac:dyDescent="0.25">
      <c r="D401" s="16"/>
      <c r="G401" s="15"/>
    </row>
    <row r="402" spans="4:7" x14ac:dyDescent="0.25">
      <c r="D402" s="16"/>
      <c r="G402" s="15"/>
    </row>
    <row r="403" spans="4:7" x14ac:dyDescent="0.25">
      <c r="D403" s="16"/>
      <c r="G403" s="15"/>
    </row>
    <row r="404" spans="4:7" x14ac:dyDescent="0.25">
      <c r="D404" s="16"/>
      <c r="G404" s="15"/>
    </row>
    <row r="405" spans="4:7" x14ac:dyDescent="0.25">
      <c r="D405" s="16"/>
      <c r="G405" s="15"/>
    </row>
    <row r="406" spans="4:7" x14ac:dyDescent="0.25">
      <c r="D406" s="16"/>
      <c r="G406" s="15"/>
    </row>
    <row r="407" spans="4:7" x14ac:dyDescent="0.25">
      <c r="D407" s="16"/>
      <c r="G407" s="15"/>
    </row>
    <row r="408" spans="4:7" x14ac:dyDescent="0.25">
      <c r="D408" s="16"/>
      <c r="G408" s="15"/>
    </row>
    <row r="409" spans="4:7" x14ac:dyDescent="0.25">
      <c r="D409" s="16"/>
      <c r="G409" s="15"/>
    </row>
    <row r="410" spans="4:7" x14ac:dyDescent="0.25">
      <c r="D410" s="16"/>
      <c r="G410" s="15"/>
    </row>
    <row r="411" spans="4:7" x14ac:dyDescent="0.25">
      <c r="D411" s="16"/>
      <c r="G411" s="15"/>
    </row>
    <row r="412" spans="4:7" x14ac:dyDescent="0.25">
      <c r="D412" s="16"/>
      <c r="G412" s="15"/>
    </row>
    <row r="413" spans="4:7" x14ac:dyDescent="0.25">
      <c r="D413" s="16"/>
      <c r="G413" s="15"/>
    </row>
    <row r="414" spans="4:7" x14ac:dyDescent="0.25">
      <c r="D414" s="16"/>
      <c r="G414" s="15"/>
    </row>
    <row r="415" spans="4:7" x14ac:dyDescent="0.25">
      <c r="D415" s="16"/>
      <c r="G415" s="15"/>
    </row>
    <row r="416" spans="4:7" x14ac:dyDescent="0.25">
      <c r="D416" s="16"/>
      <c r="G416" s="15"/>
    </row>
    <row r="417" spans="4:7" x14ac:dyDescent="0.25">
      <c r="D417" s="16"/>
      <c r="G417" s="15"/>
    </row>
    <row r="418" spans="4:7" x14ac:dyDescent="0.25">
      <c r="D418" s="16"/>
      <c r="G418" s="15"/>
    </row>
    <row r="419" spans="4:7" x14ac:dyDescent="0.25">
      <c r="D419" s="16"/>
      <c r="G419" s="15"/>
    </row>
    <row r="420" spans="4:7" x14ac:dyDescent="0.25">
      <c r="D420" s="16"/>
      <c r="G420" s="15"/>
    </row>
    <row r="421" spans="4:7" x14ac:dyDescent="0.25">
      <c r="D421" s="16"/>
      <c r="G421" s="15"/>
    </row>
    <row r="422" spans="4:7" x14ac:dyDescent="0.25">
      <c r="D422" s="16"/>
      <c r="G422" s="15"/>
    </row>
    <row r="423" spans="4:7" x14ac:dyDescent="0.25">
      <c r="D423" s="16"/>
      <c r="G423" s="15"/>
    </row>
    <row r="424" spans="4:7" x14ac:dyDescent="0.25">
      <c r="D424" s="16"/>
      <c r="G424" s="15"/>
    </row>
    <row r="425" spans="4:7" x14ac:dyDescent="0.25">
      <c r="D425" s="16"/>
      <c r="G425" s="15"/>
    </row>
    <row r="426" spans="4:7" x14ac:dyDescent="0.25">
      <c r="D426" s="16"/>
      <c r="G426" s="15"/>
    </row>
    <row r="427" spans="4:7" x14ac:dyDescent="0.25">
      <c r="D427" s="16"/>
      <c r="G427" s="15"/>
    </row>
    <row r="428" spans="4:7" x14ac:dyDescent="0.25">
      <c r="D428" s="16"/>
      <c r="G428" s="15"/>
    </row>
    <row r="429" spans="4:7" x14ac:dyDescent="0.25">
      <c r="D429" s="16"/>
      <c r="G429" s="15"/>
    </row>
    <row r="430" spans="4:7" x14ac:dyDescent="0.25">
      <c r="D430" s="16"/>
      <c r="G430" s="15"/>
    </row>
    <row r="431" spans="4:7" x14ac:dyDescent="0.25">
      <c r="D431" s="16"/>
      <c r="G431" s="15"/>
    </row>
    <row r="432" spans="4:7" x14ac:dyDescent="0.25">
      <c r="D432" s="16"/>
      <c r="G432" s="15"/>
    </row>
    <row r="433" spans="4:7" x14ac:dyDescent="0.25">
      <c r="D433" s="16"/>
      <c r="G433" s="15"/>
    </row>
    <row r="434" spans="4:7" x14ac:dyDescent="0.25">
      <c r="D434" s="16"/>
    </row>
    <row r="435" spans="4:7" x14ac:dyDescent="0.25">
      <c r="D435" s="16"/>
    </row>
    <row r="436" spans="4:7" x14ac:dyDescent="0.25">
      <c r="D436" s="16"/>
    </row>
    <row r="437" spans="4:7" x14ac:dyDescent="0.25">
      <c r="D437" s="16"/>
    </row>
    <row r="438" spans="4:7" x14ac:dyDescent="0.25">
      <c r="D438" s="16"/>
    </row>
    <row r="439" spans="4:7" x14ac:dyDescent="0.25">
      <c r="D439" s="16"/>
    </row>
    <row r="440" spans="4:7" x14ac:dyDescent="0.25">
      <c r="D440" s="16"/>
    </row>
    <row r="441" spans="4:7" x14ac:dyDescent="0.25">
      <c r="D441" s="16"/>
    </row>
    <row r="442" spans="4:7" x14ac:dyDescent="0.25">
      <c r="D442" s="16"/>
    </row>
    <row r="443" spans="4:7" x14ac:dyDescent="0.25">
      <c r="D443" s="16"/>
    </row>
    <row r="444" spans="4:7" x14ac:dyDescent="0.25">
      <c r="D444" s="16"/>
    </row>
    <row r="445" spans="4:7" x14ac:dyDescent="0.25">
      <c r="D445" s="16"/>
    </row>
    <row r="446" spans="4:7" x14ac:dyDescent="0.25">
      <c r="D446" s="16"/>
    </row>
    <row r="447" spans="4:7" x14ac:dyDescent="0.25">
      <c r="D447" s="16"/>
    </row>
    <row r="448" spans="4:7" x14ac:dyDescent="0.25">
      <c r="D448" s="16"/>
    </row>
    <row r="449" spans="4:4" x14ac:dyDescent="0.25">
      <c r="D449" s="16"/>
    </row>
    <row r="450" spans="4:4" x14ac:dyDescent="0.25">
      <c r="D450" s="16"/>
    </row>
    <row r="451" spans="4:4" x14ac:dyDescent="0.25">
      <c r="D451" s="16"/>
    </row>
    <row r="452" spans="4:4" x14ac:dyDescent="0.25">
      <c r="D452" s="16"/>
    </row>
    <row r="453" spans="4:4" x14ac:dyDescent="0.25">
      <c r="D453" s="16"/>
    </row>
    <row r="454" spans="4:4" x14ac:dyDescent="0.25">
      <c r="D454" s="16"/>
    </row>
    <row r="455" spans="4:4" x14ac:dyDescent="0.25">
      <c r="D455" s="16"/>
    </row>
    <row r="456" spans="4:4" x14ac:dyDescent="0.25">
      <c r="D456" s="16"/>
    </row>
    <row r="457" spans="4:4" x14ac:dyDescent="0.25">
      <c r="D457" s="16"/>
    </row>
    <row r="458" spans="4:4" x14ac:dyDescent="0.25">
      <c r="D458" s="16"/>
    </row>
    <row r="459" spans="4:4" x14ac:dyDescent="0.25">
      <c r="D459" s="16"/>
    </row>
    <row r="460" spans="4:4" x14ac:dyDescent="0.25">
      <c r="D460" s="16"/>
    </row>
    <row r="461" spans="4:4" x14ac:dyDescent="0.25">
      <c r="D461" s="16"/>
    </row>
    <row r="462" spans="4:4" x14ac:dyDescent="0.25">
      <c r="D462" s="16"/>
    </row>
    <row r="463" spans="4:4" x14ac:dyDescent="0.25">
      <c r="D463" s="16"/>
    </row>
    <row r="464" spans="4:4" x14ac:dyDescent="0.25">
      <c r="D464" s="16"/>
    </row>
    <row r="465" spans="4:4" x14ac:dyDescent="0.25">
      <c r="D465" s="16"/>
    </row>
    <row r="466" spans="4:4" x14ac:dyDescent="0.25">
      <c r="D466" s="16"/>
    </row>
    <row r="467" spans="4:4" x14ac:dyDescent="0.25">
      <c r="D467" s="16"/>
    </row>
    <row r="468" spans="4:4" x14ac:dyDescent="0.25">
      <c r="D468" s="16"/>
    </row>
    <row r="469" spans="4:4" x14ac:dyDescent="0.25">
      <c r="D469" s="16"/>
    </row>
    <row r="470" spans="4:4" x14ac:dyDescent="0.25">
      <c r="D470" s="16"/>
    </row>
    <row r="471" spans="4:4" x14ac:dyDescent="0.25">
      <c r="D471" s="16"/>
    </row>
    <row r="472" spans="4:4" x14ac:dyDescent="0.25">
      <c r="D472" s="16"/>
    </row>
    <row r="473" spans="4:4" x14ac:dyDescent="0.25">
      <c r="D473" s="16"/>
    </row>
    <row r="474" spans="4:4" x14ac:dyDescent="0.25">
      <c r="D474" s="16"/>
    </row>
    <row r="475" spans="4:4" x14ac:dyDescent="0.25">
      <c r="D475" s="16"/>
    </row>
    <row r="476" spans="4:4" x14ac:dyDescent="0.25">
      <c r="D476" s="16"/>
    </row>
    <row r="477" spans="4:4" x14ac:dyDescent="0.25">
      <c r="D477" s="16"/>
    </row>
    <row r="478" spans="4:4" x14ac:dyDescent="0.25">
      <c r="D478" s="16"/>
    </row>
    <row r="479" spans="4:4" x14ac:dyDescent="0.25">
      <c r="D479" s="16"/>
    </row>
    <row r="480" spans="4:4" x14ac:dyDescent="0.25">
      <c r="D480" s="16"/>
    </row>
    <row r="481" spans="4:4" x14ac:dyDescent="0.25">
      <c r="D481" s="16"/>
    </row>
    <row r="482" spans="4:4" x14ac:dyDescent="0.25">
      <c r="D482" s="16"/>
    </row>
    <row r="483" spans="4:4" x14ac:dyDescent="0.25">
      <c r="D483" s="16"/>
    </row>
    <row r="484" spans="4:4" x14ac:dyDescent="0.25">
      <c r="D484" s="16"/>
    </row>
    <row r="485" spans="4:4" x14ac:dyDescent="0.25">
      <c r="D485" s="16"/>
    </row>
    <row r="486" spans="4:4" x14ac:dyDescent="0.25">
      <c r="D486" s="16"/>
    </row>
    <row r="487" spans="4:4" x14ac:dyDescent="0.25">
      <c r="D487" s="16"/>
    </row>
    <row r="488" spans="4:4" x14ac:dyDescent="0.25">
      <c r="D488" s="16"/>
    </row>
    <row r="489" spans="4:4" x14ac:dyDescent="0.25">
      <c r="D489" s="16"/>
    </row>
    <row r="490" spans="4:4" x14ac:dyDescent="0.25">
      <c r="D490" s="16"/>
    </row>
    <row r="491" spans="4:4" x14ac:dyDescent="0.25">
      <c r="D491" s="16"/>
    </row>
    <row r="492" spans="4:4" x14ac:dyDescent="0.25">
      <c r="D492" s="16"/>
    </row>
    <row r="493" spans="4:4" x14ac:dyDescent="0.25">
      <c r="D493" s="16"/>
    </row>
    <row r="494" spans="4:4" x14ac:dyDescent="0.25">
      <c r="D494" s="16"/>
    </row>
    <row r="495" spans="4:4" x14ac:dyDescent="0.25">
      <c r="D495" s="16"/>
    </row>
    <row r="496" spans="4:4" x14ac:dyDescent="0.25">
      <c r="D496" s="16"/>
    </row>
    <row r="497" spans="4:4" x14ac:dyDescent="0.25">
      <c r="D497" s="16"/>
    </row>
    <row r="498" spans="4:4" x14ac:dyDescent="0.25">
      <c r="D498" s="16"/>
    </row>
    <row r="499" spans="4:4" x14ac:dyDescent="0.25">
      <c r="D499" s="16"/>
    </row>
    <row r="500" spans="4:4" x14ac:dyDescent="0.25">
      <c r="D500" s="16"/>
    </row>
    <row r="501" spans="4:4" x14ac:dyDescent="0.25">
      <c r="D501" s="16"/>
    </row>
    <row r="502" spans="4:4" x14ac:dyDescent="0.25">
      <c r="D502" s="16"/>
    </row>
    <row r="503" spans="4:4" x14ac:dyDescent="0.25">
      <c r="D503" s="16"/>
    </row>
    <row r="504" spans="4:4" x14ac:dyDescent="0.25">
      <c r="D504" s="16"/>
    </row>
    <row r="505" spans="4:4" x14ac:dyDescent="0.25">
      <c r="D505" s="16"/>
    </row>
    <row r="506" spans="4:4" x14ac:dyDescent="0.25">
      <c r="D506" s="16"/>
    </row>
    <row r="507" spans="4:4" x14ac:dyDescent="0.25">
      <c r="D507" s="16"/>
    </row>
    <row r="508" spans="4:4" x14ac:dyDescent="0.25">
      <c r="D508" s="16"/>
    </row>
    <row r="509" spans="4:4" x14ac:dyDescent="0.25">
      <c r="D509" s="16"/>
    </row>
    <row r="510" spans="4:4" x14ac:dyDescent="0.25">
      <c r="D510" s="16"/>
    </row>
    <row r="511" spans="4:4" x14ac:dyDescent="0.25">
      <c r="D511" s="16"/>
    </row>
    <row r="512" spans="4:4" x14ac:dyDescent="0.25">
      <c r="D512" s="16"/>
    </row>
    <row r="513" spans="4:4" x14ac:dyDescent="0.25">
      <c r="D513" s="16"/>
    </row>
    <row r="514" spans="4:4" x14ac:dyDescent="0.25">
      <c r="D514" s="16"/>
    </row>
    <row r="515" spans="4:4" x14ac:dyDescent="0.25">
      <c r="D515" s="16"/>
    </row>
    <row r="516" spans="4:4" x14ac:dyDescent="0.25">
      <c r="D516" s="16"/>
    </row>
    <row r="517" spans="4:4" x14ac:dyDescent="0.25">
      <c r="D517" s="16"/>
    </row>
    <row r="518" spans="4:4" x14ac:dyDescent="0.25">
      <c r="D518" s="16"/>
    </row>
    <row r="519" spans="4:4" x14ac:dyDescent="0.25">
      <c r="D519" s="16"/>
    </row>
    <row r="520" spans="4:4" x14ac:dyDescent="0.25">
      <c r="D520" s="16"/>
    </row>
    <row r="521" spans="4:4" x14ac:dyDescent="0.25">
      <c r="D521" s="16"/>
    </row>
    <row r="522" spans="4:4" x14ac:dyDescent="0.25">
      <c r="D522" s="16"/>
    </row>
    <row r="523" spans="4:4" x14ac:dyDescent="0.25">
      <c r="D523" s="16"/>
    </row>
    <row r="524" spans="4:4" x14ac:dyDescent="0.25">
      <c r="D524" s="16"/>
    </row>
    <row r="525" spans="4:4" x14ac:dyDescent="0.25">
      <c r="D525" s="16"/>
    </row>
    <row r="526" spans="4:4" x14ac:dyDescent="0.25">
      <c r="D526" s="16"/>
    </row>
    <row r="527" spans="4:4" x14ac:dyDescent="0.25">
      <c r="D527" s="16"/>
    </row>
    <row r="528" spans="4:4" x14ac:dyDescent="0.25">
      <c r="D528" s="16"/>
    </row>
    <row r="529" spans="4:4" x14ac:dyDescent="0.25">
      <c r="D529" s="16"/>
    </row>
    <row r="530" spans="4:4" x14ac:dyDescent="0.25">
      <c r="D530" s="16"/>
    </row>
    <row r="531" spans="4:4" x14ac:dyDescent="0.25">
      <c r="D531" s="16"/>
    </row>
    <row r="532" spans="4:4" x14ac:dyDescent="0.25">
      <c r="D532" s="16"/>
    </row>
    <row r="533" spans="4:4" x14ac:dyDescent="0.25">
      <c r="D533" s="16"/>
    </row>
    <row r="534" spans="4:4" x14ac:dyDescent="0.25">
      <c r="D534" s="16"/>
    </row>
    <row r="535" spans="4:4" x14ac:dyDescent="0.25">
      <c r="D535" s="16"/>
    </row>
    <row r="536" spans="4:4" x14ac:dyDescent="0.25">
      <c r="D536" s="16"/>
    </row>
    <row r="537" spans="4:4" x14ac:dyDescent="0.25">
      <c r="D537" s="16"/>
    </row>
    <row r="538" spans="4:4" x14ac:dyDescent="0.25">
      <c r="D538" s="16"/>
    </row>
    <row r="539" spans="4:4" x14ac:dyDescent="0.25">
      <c r="D539" s="16"/>
    </row>
    <row r="540" spans="4:4" x14ac:dyDescent="0.25">
      <c r="D540" s="16"/>
    </row>
    <row r="541" spans="4:4" x14ac:dyDescent="0.25">
      <c r="D541" s="16"/>
    </row>
    <row r="542" spans="4:4" x14ac:dyDescent="0.25">
      <c r="D542" s="16"/>
    </row>
    <row r="543" spans="4:4" x14ac:dyDescent="0.25">
      <c r="D543" s="16"/>
    </row>
    <row r="544" spans="4:4" x14ac:dyDescent="0.25">
      <c r="D544" s="16"/>
    </row>
    <row r="545" spans="4:4" x14ac:dyDescent="0.25">
      <c r="D545" s="16"/>
    </row>
    <row r="546" spans="4:4" x14ac:dyDescent="0.25">
      <c r="D546" s="16"/>
    </row>
    <row r="547" spans="4:4" x14ac:dyDescent="0.25">
      <c r="D547" s="16"/>
    </row>
    <row r="548" spans="4:4" x14ac:dyDescent="0.25">
      <c r="D548" s="16"/>
    </row>
    <row r="549" spans="4:4" x14ac:dyDescent="0.25">
      <c r="D549" s="16"/>
    </row>
    <row r="550" spans="4:4" x14ac:dyDescent="0.25">
      <c r="D550" s="16"/>
    </row>
    <row r="551" spans="4:4" x14ac:dyDescent="0.25">
      <c r="D551" s="16"/>
    </row>
    <row r="552" spans="4:4" x14ac:dyDescent="0.25">
      <c r="D552" s="16"/>
    </row>
    <row r="553" spans="4:4" x14ac:dyDescent="0.25">
      <c r="D553" s="16"/>
    </row>
    <row r="554" spans="4:4" x14ac:dyDescent="0.25">
      <c r="D554" s="16"/>
    </row>
    <row r="555" spans="4:4" x14ac:dyDescent="0.25">
      <c r="D555" s="16"/>
    </row>
    <row r="556" spans="4:4" x14ac:dyDescent="0.25">
      <c r="D556" s="16"/>
    </row>
    <row r="557" spans="4:4" x14ac:dyDescent="0.25">
      <c r="D557" s="16"/>
    </row>
    <row r="558" spans="4:4" x14ac:dyDescent="0.25">
      <c r="D558" s="16"/>
    </row>
    <row r="559" spans="4:4" x14ac:dyDescent="0.25">
      <c r="D559" s="16"/>
    </row>
    <row r="560" spans="4:4" x14ac:dyDescent="0.25">
      <c r="D560" s="16"/>
    </row>
    <row r="561" spans="4:4" x14ac:dyDescent="0.25">
      <c r="D561" s="16"/>
    </row>
    <row r="562" spans="4:4" x14ac:dyDescent="0.25">
      <c r="D562" s="16"/>
    </row>
    <row r="563" spans="4:4" x14ac:dyDescent="0.25">
      <c r="D563" s="16"/>
    </row>
    <row r="564" spans="4:4" x14ac:dyDescent="0.25">
      <c r="D564" s="16"/>
    </row>
    <row r="565" spans="4:4" x14ac:dyDescent="0.25">
      <c r="D565" s="16"/>
    </row>
    <row r="566" spans="4:4" x14ac:dyDescent="0.25">
      <c r="D566" s="16"/>
    </row>
    <row r="567" spans="4:4" x14ac:dyDescent="0.25">
      <c r="D567" s="16"/>
    </row>
    <row r="568" spans="4:4" x14ac:dyDescent="0.25">
      <c r="D568" s="16"/>
    </row>
    <row r="569" spans="4:4" x14ac:dyDescent="0.25">
      <c r="D569" s="16"/>
    </row>
    <row r="570" spans="4:4" x14ac:dyDescent="0.25">
      <c r="D570" s="16"/>
    </row>
    <row r="571" spans="4:4" x14ac:dyDescent="0.25">
      <c r="D571" s="16"/>
    </row>
    <row r="572" spans="4:4" x14ac:dyDescent="0.25">
      <c r="D572" s="16"/>
    </row>
    <row r="573" spans="4:4" x14ac:dyDescent="0.25">
      <c r="D573" s="16"/>
    </row>
    <row r="574" spans="4:4" x14ac:dyDescent="0.25">
      <c r="D574" s="16"/>
    </row>
    <row r="575" spans="4:4" x14ac:dyDescent="0.25">
      <c r="D575" s="16"/>
    </row>
    <row r="576" spans="4:4" x14ac:dyDescent="0.25">
      <c r="D576" s="16"/>
    </row>
    <row r="577" spans="4:4" x14ac:dyDescent="0.25">
      <c r="D577" s="16"/>
    </row>
    <row r="578" spans="4:4" x14ac:dyDescent="0.25">
      <c r="D578" s="16"/>
    </row>
    <row r="579" spans="4:4" x14ac:dyDescent="0.25">
      <c r="D579" s="16"/>
    </row>
    <row r="580" spans="4:4" x14ac:dyDescent="0.25">
      <c r="D580" s="16"/>
    </row>
    <row r="581" spans="4:4" x14ac:dyDescent="0.25">
      <c r="D581" s="16"/>
    </row>
    <row r="582" spans="4:4" x14ac:dyDescent="0.25">
      <c r="D582" s="16"/>
    </row>
    <row r="583" spans="4:4" x14ac:dyDescent="0.25">
      <c r="D583" s="16"/>
    </row>
    <row r="584" spans="4:4" x14ac:dyDescent="0.25">
      <c r="D584" s="16"/>
    </row>
    <row r="585" spans="4:4" x14ac:dyDescent="0.25">
      <c r="D585" s="16"/>
    </row>
    <row r="586" spans="4:4" x14ac:dyDescent="0.25">
      <c r="D586" s="16"/>
    </row>
    <row r="587" spans="4:4" x14ac:dyDescent="0.25">
      <c r="D587" s="16"/>
    </row>
    <row r="588" spans="4:4" x14ac:dyDescent="0.25">
      <c r="D588" s="16"/>
    </row>
    <row r="589" spans="4:4" x14ac:dyDescent="0.25">
      <c r="D589" s="16"/>
    </row>
    <row r="590" spans="4:4" x14ac:dyDescent="0.25">
      <c r="D590" s="16"/>
    </row>
    <row r="591" spans="4:4" x14ac:dyDescent="0.25">
      <c r="D591" s="16"/>
    </row>
    <row r="592" spans="4:4" x14ac:dyDescent="0.25">
      <c r="D592" s="16"/>
    </row>
    <row r="593" spans="4:4" x14ac:dyDescent="0.25">
      <c r="D593" s="16"/>
    </row>
    <row r="594" spans="4:4" x14ac:dyDescent="0.25">
      <c r="D594" s="16"/>
    </row>
    <row r="595" spans="4:4" x14ac:dyDescent="0.25">
      <c r="D595" s="16"/>
    </row>
    <row r="596" spans="4:4" x14ac:dyDescent="0.25">
      <c r="D596" s="16"/>
    </row>
    <row r="597" spans="4:4" x14ac:dyDescent="0.25">
      <c r="D597" s="16"/>
    </row>
    <row r="598" spans="4:4" x14ac:dyDescent="0.25">
      <c r="D598" s="16"/>
    </row>
    <row r="599" spans="4:4" x14ac:dyDescent="0.25">
      <c r="D599" s="16"/>
    </row>
    <row r="600" spans="4:4" x14ac:dyDescent="0.25">
      <c r="D600" s="16"/>
    </row>
    <row r="601" spans="4:4" x14ac:dyDescent="0.25">
      <c r="D601" s="16"/>
    </row>
    <row r="602" spans="4:4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sqref="A1:G5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E17" sqref="E17"/>
    </sheetView>
  </sheetViews>
  <sheetFormatPr defaultRowHeight="15" x14ac:dyDescent="0.25"/>
  <cols>
    <col min="1" max="1" width="9.140625" customWidth="1"/>
    <col min="2" max="2" width="28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</cols>
  <sheetData>
    <row r="1" spans="1:6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</row>
    <row r="2" spans="1:6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</row>
    <row r="3" spans="1:6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</row>
    <row r="4" spans="1:6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</row>
    <row r="5" spans="1:6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</row>
    <row r="6" spans="1:6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</row>
    <row r="7" spans="1:6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</row>
    <row r="8" spans="1:6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</row>
    <row r="9" spans="1:6" x14ac:dyDescent="0.25">
      <c r="A9" t="s">
        <v>7</v>
      </c>
      <c r="B9" t="s">
        <v>61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</row>
    <row r="10" spans="1:6" x14ac:dyDescent="0.25">
      <c r="A10" t="s">
        <v>12</v>
      </c>
      <c r="B10" t="s">
        <v>61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</row>
    <row r="11" spans="1:6" x14ac:dyDescent="0.25">
      <c r="A11" t="s">
        <v>14</v>
      </c>
      <c r="B11" t="s">
        <v>61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</row>
    <row r="12" spans="1:6" x14ac:dyDescent="0.25">
      <c r="A12" t="s">
        <v>17</v>
      </c>
      <c r="B12" t="s">
        <v>61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</row>
    <row r="13" spans="1:6" x14ac:dyDescent="0.25">
      <c r="A13" t="s">
        <v>19</v>
      </c>
      <c r="B13" t="s">
        <v>61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</row>
    <row r="14" spans="1:6" x14ac:dyDescent="0.25">
      <c r="A14" t="s">
        <v>21</v>
      </c>
      <c r="B14" t="s">
        <v>61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</row>
    <row r="15" spans="1:6" x14ac:dyDescent="0.25">
      <c r="A15" t="s">
        <v>50</v>
      </c>
      <c r="B15" t="s">
        <v>61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</row>
    <row r="16" spans="1:6" x14ac:dyDescent="0.25">
      <c r="A16" t="s">
        <v>59</v>
      </c>
      <c r="B16" t="s">
        <v>61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</row>
    <row r="17" spans="1:6" x14ac:dyDescent="0.25">
      <c r="A17" t="s">
        <v>81</v>
      </c>
      <c r="B17" t="s">
        <v>82</v>
      </c>
      <c r="C17">
        <v>1764</v>
      </c>
      <c r="D17">
        <v>65.33</v>
      </c>
      <c r="E17">
        <v>65.33</v>
      </c>
      <c r="F17" s="29">
        <f>Table5[[#This Row],[Charge_Per_Head]]-Table5[[#This Row],[Paid_Amt]]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R29"/>
  <sheetViews>
    <sheetView topLeftCell="B2" workbookViewId="0">
      <selection activeCell="L15" sqref="L15"/>
    </sheetView>
  </sheetViews>
  <sheetFormatPr defaultRowHeight="15" x14ac:dyDescent="0.25"/>
  <cols>
    <col min="8" max="8" width="17" bestFit="1" customWidth="1"/>
  </cols>
  <sheetData>
    <row r="4" spans="3:18" x14ac:dyDescent="0.25">
      <c r="C4" s="4" t="s">
        <v>0</v>
      </c>
      <c r="D4" s="26" t="s">
        <v>23</v>
      </c>
    </row>
    <row r="5" spans="3:18" x14ac:dyDescent="0.25">
      <c r="C5" s="20" t="s">
        <v>7</v>
      </c>
      <c r="D5" s="22">
        <v>2000</v>
      </c>
    </row>
    <row r="6" spans="3:18" x14ac:dyDescent="0.25">
      <c r="C6" s="19" t="s">
        <v>12</v>
      </c>
      <c r="D6" s="24">
        <v>1500</v>
      </c>
    </row>
    <row r="7" spans="3:18" x14ac:dyDescent="0.25">
      <c r="C7" s="20" t="s">
        <v>14</v>
      </c>
      <c r="D7" s="22">
        <v>500</v>
      </c>
    </row>
    <row r="8" spans="3:18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8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8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8" x14ac:dyDescent="0.25">
      <c r="C11" s="20" t="s">
        <v>50</v>
      </c>
      <c r="D11" s="22">
        <v>2000</v>
      </c>
      <c r="L11">
        <v>196</v>
      </c>
      <c r="O11" s="17" t="s">
        <v>48</v>
      </c>
      <c r="P11" s="17">
        <v>7.85</v>
      </c>
    </row>
    <row r="12" spans="3:18" x14ac:dyDescent="0.25">
      <c r="L12">
        <v>30</v>
      </c>
      <c r="O12" t="s">
        <v>49</v>
      </c>
      <c r="P12">
        <v>31.4</v>
      </c>
    </row>
    <row r="13" spans="3:18" x14ac:dyDescent="0.25">
      <c r="L13">
        <f>L11/L12</f>
        <v>6.5333333333333332</v>
      </c>
    </row>
    <row r="14" spans="3:18" x14ac:dyDescent="0.25">
      <c r="G14" s="4" t="s">
        <v>0</v>
      </c>
      <c r="H14" s="26" t="s">
        <v>23</v>
      </c>
      <c r="I14" s="18" t="s">
        <v>6</v>
      </c>
      <c r="L14">
        <f>L13*10</f>
        <v>65.333333333333329</v>
      </c>
    </row>
    <row r="15" spans="3:18" x14ac:dyDescent="0.25">
      <c r="G15" s="20" t="s">
        <v>7</v>
      </c>
      <c r="H15" s="22">
        <v>2000</v>
      </c>
      <c r="I15" s="23">
        <v>0.25</v>
      </c>
      <c r="R15">
        <v>1764</v>
      </c>
    </row>
    <row r="16" spans="3:18" x14ac:dyDescent="0.25">
      <c r="G16" s="19" t="s">
        <v>12</v>
      </c>
      <c r="H16" s="24">
        <v>1500</v>
      </c>
      <c r="I16" s="25">
        <v>0.1875</v>
      </c>
      <c r="R16">
        <v>9</v>
      </c>
    </row>
    <row r="17" spans="7:18" x14ac:dyDescent="0.25">
      <c r="G17" s="20" t="s">
        <v>14</v>
      </c>
      <c r="H17" s="22">
        <v>500</v>
      </c>
      <c r="I17" s="23">
        <v>6.25E-2</v>
      </c>
      <c r="R17">
        <f>R15/R16</f>
        <v>196</v>
      </c>
    </row>
    <row r="18" spans="7:18" x14ac:dyDescent="0.25">
      <c r="G18" s="19" t="s">
        <v>17</v>
      </c>
      <c r="H18" s="24">
        <v>1500</v>
      </c>
      <c r="I18" s="25">
        <v>0.1875</v>
      </c>
    </row>
    <row r="19" spans="7:18" x14ac:dyDescent="0.25">
      <c r="G19" s="20" t="s">
        <v>19</v>
      </c>
      <c r="H19" s="22">
        <v>500</v>
      </c>
      <c r="I19" s="23">
        <v>6.25E-2</v>
      </c>
    </row>
    <row r="20" spans="7:18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7:18" x14ac:dyDescent="0.25">
      <c r="L24">
        <v>60.25</v>
      </c>
    </row>
    <row r="25" spans="7:18" x14ac:dyDescent="0.25">
      <c r="L25">
        <v>180.75</v>
      </c>
    </row>
    <row r="26" spans="7:18" x14ac:dyDescent="0.25">
      <c r="L26">
        <v>60.25</v>
      </c>
      <c r="N26">
        <v>6505</v>
      </c>
      <c r="O26">
        <v>5773</v>
      </c>
      <c r="P26">
        <f>N26-O26</f>
        <v>732</v>
      </c>
    </row>
    <row r="27" spans="7:18" x14ac:dyDescent="0.25">
      <c r="L27">
        <v>180.75</v>
      </c>
    </row>
    <row r="28" spans="7:18" x14ac:dyDescent="0.25">
      <c r="L28">
        <v>241</v>
      </c>
    </row>
    <row r="29" spans="7:18" x14ac:dyDescent="0.25">
      <c r="L29">
        <v>209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abSelected="1" workbookViewId="0">
      <selection activeCell="E22" sqref="E22"/>
    </sheetView>
  </sheetViews>
  <sheetFormatPr defaultRowHeight="15" x14ac:dyDescent="0.25"/>
  <cols>
    <col min="1" max="1" width="65.140625" bestFit="1" customWidth="1"/>
  </cols>
  <sheetData>
    <row r="1" spans="1:1" x14ac:dyDescent="0.25">
      <c r="A1" t="s">
        <v>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  <vt:lpstr>Current_System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2025-12-30T15:30:10Z</dcterms:modified>
</cp:coreProperties>
</file>