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D3" i="8" l="1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<sst xmlns="http://schemas.openxmlformats.org/spreadsheetml/2006/main" count="1655" uniqueCount="110">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</sst>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7" dataDxfId="46" totalsRowDxfId="45">
  <autoFilter ref="A1:N5640"/>
  <tableColumns count="14">
    <tableColumn id="9" name="Date" dataDxfId="44" totalsRowDxfId="13"/>
    <tableColumn id="13" name="UserID" dataDxfId="43" totalsRowDxfId="12"/>
    <tableColumn id="8" name="Name" dataDxfId="42" totalsRowDxfId="11"/>
    <tableColumn id="15" name="User_Invested_Amount" dataDxfId="41" totalsRowDxfId="10"/>
    <tableColumn id="17" name="Transaction_ID" dataDxfId="40" totalsRowDxfId="9"/>
    <tableColumn id="16" name="Transaction_Date" dataDxfId="39" totalsRowDxfId="8"/>
    <tableColumn id="3" name="User_Invest_Amount_As_On_Date" dataDxfId="38" totalsRowDxfId="7"/>
    <tableColumn id="6" name="Company_Total_Investment_As_On_Date" dataDxfId="37" totalsRowDxfId="6"/>
    <tableColumn id="10" name="Total_Profit" dataDxfId="36" totalsRowDxfId="5"/>
    <tableColumn id="11" name="Profit_%" dataDxfId="35" totalsRowDxfId="4"/>
    <tableColumn id="7" name="Profit_Without_Tax" dataDxfId="34" totalsRowDxfId="3"/>
    <tableColumn id="4" name="Payment_Status" dataDxfId="33" totalsRowDxfId="2"/>
    <tableColumn id="1" name="Tax_Deduction_%" dataDxfId="17" totalsRowDxfId="1"/>
    <tableColumn id="2" name="Profit_With_Tax" dataDxfId="16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2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31" dataDxfId="29" headerRowBorderDxfId="30" tableBorderDxfId="28" totalsRowBorderDxfId="27">
  <autoFilter ref="A1:H602"/>
  <tableColumns count="8">
    <tableColumn id="1" name="Date" dataDxfId="26"/>
    <tableColumn id="2" name="UserID" dataDxfId="25"/>
    <tableColumn id="3" name="Invest_Amount" dataDxfId="24"/>
    <tableColumn id="6" name="Company_Total_Invest" dataDxfId="23"/>
    <tableColumn id="4" name="Profit" dataDxfId="22"/>
    <tableColumn id="5" name="Payment" dataDxfId="21"/>
    <tableColumn id="7" name="Total_Profit" dataDxfId="20"/>
    <tableColumn id="8" name="Re-Invest_ID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6" totalsRowShown="0">
  <autoFilter ref="A1:G26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8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5">
      <calculatedColumnFormula>SUMIFS(Daily_Report!E:E,Daily_Report!H:H,Re_Investment_Details!C:C)</calculatedColumnFormula>
    </tableColumn>
    <tableColumn id="5" name="Pending_Amount_To_Be_Add" dataDxfId="14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E302" workbookViewId="0">
      <selection activeCell="I322" sqref="I322:I330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78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78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78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78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78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78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78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3" x14ac:dyDescent="0.25">
      <c r="I321" s="15"/>
      <c r="M321" s="33"/>
    </row>
    <row r="322" spans="1:13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0</v>
      </c>
      <c r="M322" s="33">
        <v>0.94</v>
      </c>
    </row>
    <row r="323" spans="1:13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0</v>
      </c>
      <c r="L323" s="14" t="s">
        <v>91</v>
      </c>
      <c r="M323" s="33">
        <v>0.94</v>
      </c>
    </row>
    <row r="324" spans="1:13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0</v>
      </c>
      <c r="M324" s="33">
        <v>0.94</v>
      </c>
    </row>
    <row r="325" spans="1:13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0</v>
      </c>
      <c r="M325" s="33">
        <v>0.94</v>
      </c>
    </row>
    <row r="326" spans="1:13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0</v>
      </c>
      <c r="M326" s="33">
        <v>0.94</v>
      </c>
    </row>
    <row r="327" spans="1:13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0</v>
      </c>
      <c r="M327" s="33">
        <v>0.94</v>
      </c>
    </row>
    <row r="328" spans="1:13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0</v>
      </c>
      <c r="M328" s="33">
        <v>0.94</v>
      </c>
    </row>
    <row r="329" spans="1:13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0</v>
      </c>
      <c r="M329" s="33">
        <v>0.94</v>
      </c>
    </row>
    <row r="330" spans="1:13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0</v>
      </c>
      <c r="L330" s="33" t="s">
        <v>91</v>
      </c>
      <c r="M330" s="33">
        <v>0.94</v>
      </c>
    </row>
    <row r="331" spans="1:13" x14ac:dyDescent="0.25">
      <c r="I331" s="15"/>
      <c r="M331" s="33"/>
    </row>
    <row r="332" spans="1:13" x14ac:dyDescent="0.25">
      <c r="I332" s="15"/>
      <c r="M332" s="33"/>
    </row>
    <row r="333" spans="1:13" x14ac:dyDescent="0.25">
      <c r="I333" s="15"/>
      <c r="M333" s="33"/>
    </row>
    <row r="334" spans="1:13" x14ac:dyDescent="0.25">
      <c r="I334" s="15"/>
      <c r="M334" s="33"/>
    </row>
    <row r="335" spans="1:13" x14ac:dyDescent="0.25">
      <c r="I335" s="15"/>
      <c r="M335" s="33"/>
    </row>
    <row r="336" spans="1:13" x14ac:dyDescent="0.25">
      <c r="I336" s="15"/>
      <c r="M336" s="33"/>
    </row>
    <row r="337" spans="9:13" x14ac:dyDescent="0.25">
      <c r="I337" s="15"/>
      <c r="M337" s="33"/>
    </row>
    <row r="338" spans="9:13" x14ac:dyDescent="0.25">
      <c r="I338" s="15"/>
      <c r="M338" s="33"/>
    </row>
    <row r="339" spans="9:13" x14ac:dyDescent="0.25">
      <c r="I339" s="15"/>
      <c r="M339" s="33"/>
    </row>
    <row r="340" spans="9:13" x14ac:dyDescent="0.25">
      <c r="I340" s="15"/>
      <c r="M340" s="33"/>
    </row>
    <row r="341" spans="9:13" x14ac:dyDescent="0.25">
      <c r="I341" s="15"/>
      <c r="M341" s="33"/>
    </row>
    <row r="342" spans="9:13" x14ac:dyDescent="0.25">
      <c r="I342" s="15"/>
      <c r="M342" s="33"/>
    </row>
    <row r="343" spans="9:13" x14ac:dyDescent="0.25">
      <c r="I343" s="15"/>
      <c r="M343" s="33"/>
    </row>
    <row r="344" spans="9:13" x14ac:dyDescent="0.25">
      <c r="I344" s="15"/>
      <c r="M344" s="33"/>
    </row>
    <row r="345" spans="9:13" x14ac:dyDescent="0.25">
      <c r="I345" s="15"/>
      <c r="M345" s="33"/>
    </row>
    <row r="346" spans="9:13" x14ac:dyDescent="0.25">
      <c r="I346" s="15"/>
      <c r="M346" s="33"/>
    </row>
    <row r="347" spans="9:13" x14ac:dyDescent="0.25">
      <c r="I347" s="15"/>
      <c r="M347" s="33"/>
    </row>
    <row r="348" spans="9:13" x14ac:dyDescent="0.25">
      <c r="I348" s="15"/>
      <c r="M348" s="33"/>
    </row>
    <row r="349" spans="9:13" x14ac:dyDescent="0.25">
      <c r="I349" s="15"/>
      <c r="M349" s="33"/>
    </row>
    <row r="350" spans="9:13" x14ac:dyDescent="0.25">
      <c r="I350" s="15"/>
      <c r="M350" s="33"/>
    </row>
    <row r="351" spans="9:13" x14ac:dyDescent="0.25">
      <c r="I351" s="15"/>
      <c r="M351" s="33"/>
    </row>
    <row r="352" spans="9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3" sqref="D3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4740</v>
      </c>
      <c r="E2" s="3">
        <f>SUMIFS(Daily_Report!E:E,Daily_Report!B:B,Table2[[#This Row],[UserID]])</f>
        <v>3802.0737690039855</v>
      </c>
      <c r="F2" t="s">
        <v>38</v>
      </c>
    </row>
    <row r="3" spans="1:6" x14ac:dyDescent="0.25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2074.2719063479835</v>
      </c>
      <c r="F3" t="s">
        <v>42</v>
      </c>
    </row>
    <row r="4" spans="1:6" x14ac:dyDescent="0.25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818.80354218229127</v>
      </c>
      <c r="F4" t="s">
        <v>44</v>
      </c>
    </row>
    <row r="5" spans="1:6" x14ac:dyDescent="0.25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2174.5777180072528</v>
      </c>
      <c r="F5" t="s">
        <v>41</v>
      </c>
    </row>
    <row r="6" spans="1:6" x14ac:dyDescent="0.25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1125.7729154016645</v>
      </c>
      <c r="F6" t="s">
        <v>40</v>
      </c>
    </row>
    <row r="7" spans="1:6" x14ac:dyDescent="0.25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2726.9791415224604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2534.0761564478339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1044.2380782239168</v>
      </c>
      <c r="F9" t="s">
        <v>64</v>
      </c>
    </row>
    <row r="10" spans="1:6" x14ac:dyDescent="0.25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236.37677286261143</v>
      </c>
      <c r="F10" t="s">
        <v>88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abSelected="1" topLeftCell="A291" workbookViewId="0">
      <selection activeCell="I319" sqref="I319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91</v>
      </c>
      <c r="G278" s="15">
        <v>787</v>
      </c>
      <c r="H278" s="14" t="s">
        <v>93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</row>
    <row r="288" spans="1:8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91</v>
      </c>
      <c r="G288" s="15">
        <v>932</v>
      </c>
      <c r="H288" s="14" t="s">
        <v>93</v>
      </c>
    </row>
    <row r="289" spans="1:8" x14ac:dyDescent="0.25">
      <c r="D289" s="16"/>
      <c r="G289" s="15"/>
    </row>
    <row r="290" spans="1:8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</row>
    <row r="291" spans="1:8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</row>
    <row r="292" spans="1:8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</row>
    <row r="293" spans="1:8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</row>
    <row r="294" spans="1:8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</row>
    <row r="295" spans="1:8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</row>
    <row r="296" spans="1:8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</row>
    <row r="297" spans="1:8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</row>
    <row r="298" spans="1:8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91</v>
      </c>
      <c r="G298" s="15">
        <v>786</v>
      </c>
      <c r="H298" s="33" t="s">
        <v>93</v>
      </c>
    </row>
    <row r="299" spans="1:8" x14ac:dyDescent="0.25">
      <c r="D299" s="16"/>
      <c r="G299" s="15"/>
    </row>
    <row r="300" spans="1:8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14" t="s">
        <v>78</v>
      </c>
      <c r="G300" s="15">
        <v>512</v>
      </c>
    </row>
    <row r="301" spans="1:8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14" t="s">
        <v>91</v>
      </c>
      <c r="G301" s="15">
        <v>512</v>
      </c>
      <c r="H301" s="14" t="s">
        <v>109</v>
      </c>
    </row>
    <row r="302" spans="1:8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33" t="s">
        <v>78</v>
      </c>
      <c r="G302" s="15">
        <v>512</v>
      </c>
      <c r="H302" s="33"/>
    </row>
    <row r="303" spans="1:8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33" t="s">
        <v>78</v>
      </c>
      <c r="G303" s="15">
        <v>512</v>
      </c>
    </row>
    <row r="304" spans="1:8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33" t="s">
        <v>78</v>
      </c>
      <c r="G304" s="15">
        <v>512</v>
      </c>
    </row>
    <row r="305" spans="1:8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33" t="s">
        <v>78</v>
      </c>
      <c r="G305" s="15">
        <v>512</v>
      </c>
    </row>
    <row r="306" spans="1:8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33" t="s">
        <v>78</v>
      </c>
      <c r="G306" s="15">
        <v>512</v>
      </c>
    </row>
    <row r="307" spans="1:8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33" t="s">
        <v>78</v>
      </c>
      <c r="G307" s="15">
        <v>512</v>
      </c>
    </row>
    <row r="308" spans="1:8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</row>
    <row r="309" spans="1:8" x14ac:dyDescent="0.25">
      <c r="D309" s="16"/>
      <c r="G309" s="15"/>
    </row>
    <row r="310" spans="1:8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0</v>
      </c>
      <c r="F310" s="14" t="s">
        <v>78</v>
      </c>
      <c r="G310" s="15">
        <v>0</v>
      </c>
    </row>
    <row r="311" spans="1:8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0</v>
      </c>
      <c r="F311" s="14" t="s">
        <v>91</v>
      </c>
      <c r="G311" s="15">
        <v>0</v>
      </c>
      <c r="H311" s="14" t="s">
        <v>109</v>
      </c>
    </row>
    <row r="312" spans="1:8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0</v>
      </c>
      <c r="F312" s="14" t="s">
        <v>78</v>
      </c>
      <c r="G312" s="15">
        <v>0</v>
      </c>
    </row>
    <row r="313" spans="1:8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0</v>
      </c>
      <c r="F313" s="33" t="s">
        <v>78</v>
      </c>
      <c r="G313" s="15">
        <v>0</v>
      </c>
    </row>
    <row r="314" spans="1:8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0</v>
      </c>
      <c r="F314" s="33" t="s">
        <v>78</v>
      </c>
      <c r="G314" s="15">
        <v>0</v>
      </c>
    </row>
    <row r="315" spans="1:8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0</v>
      </c>
      <c r="F315" s="33" t="s">
        <v>78</v>
      </c>
      <c r="G315" s="15">
        <v>0</v>
      </c>
    </row>
    <row r="316" spans="1:8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0</v>
      </c>
      <c r="F316" s="33" t="s">
        <v>78</v>
      </c>
      <c r="G316" s="15">
        <v>0</v>
      </c>
    </row>
    <row r="317" spans="1:8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0</v>
      </c>
      <c r="F317" s="33" t="s">
        <v>78</v>
      </c>
      <c r="G317" s="15">
        <v>0</v>
      </c>
    </row>
    <row r="318" spans="1:8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0</v>
      </c>
      <c r="F318" s="33" t="s">
        <v>91</v>
      </c>
      <c r="G318" s="15">
        <v>0</v>
      </c>
      <c r="H318" s="33" t="s">
        <v>93</v>
      </c>
    </row>
    <row r="319" spans="1:8" x14ac:dyDescent="0.25">
      <c r="D319" s="16"/>
      <c r="G319" s="15"/>
    </row>
    <row r="320" spans="1:8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workbookViewId="0">
      <selection activeCell="E18" sqref="E18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160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160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106</v>
      </c>
    </row>
    <row r="20" spans="1:7" x14ac:dyDescent="0.25">
      <c r="A20" t="s">
        <v>14</v>
      </c>
      <c r="B20" t="s">
        <v>105</v>
      </c>
      <c r="C20">
        <v>160</v>
      </c>
      <c r="D20">
        <v>17.77</v>
      </c>
      <c r="E20">
        <v>0</v>
      </c>
      <c r="F20" s="29">
        <f>Table5[[#This Row],[Charge_Per_Head]]-Table5[[#This Row],[Paid_Amt]]</f>
        <v>17.77</v>
      </c>
      <c r="G20" t="s">
        <v>106</v>
      </c>
    </row>
    <row r="21" spans="1:7" x14ac:dyDescent="0.25">
      <c r="A21" t="s">
        <v>17</v>
      </c>
      <c r="B21" t="s">
        <v>105</v>
      </c>
      <c r="C21">
        <v>160</v>
      </c>
      <c r="D21">
        <v>17.77</v>
      </c>
      <c r="E21">
        <v>0</v>
      </c>
      <c r="F21" s="29">
        <f>Table5[[#This Row],[Charge_Per_Head]]-Table5[[#This Row],[Paid_Amt]]</f>
        <v>17.77</v>
      </c>
      <c r="G21" t="s">
        <v>106</v>
      </c>
    </row>
    <row r="22" spans="1:7" x14ac:dyDescent="0.25">
      <c r="A22" t="s">
        <v>19</v>
      </c>
      <c r="B22" t="s">
        <v>105</v>
      </c>
      <c r="C22">
        <v>160</v>
      </c>
      <c r="D22">
        <v>17.77</v>
      </c>
      <c r="E22">
        <v>0</v>
      </c>
      <c r="F22" s="29">
        <f>Table5[[#This Row],[Charge_Per_Head]]-Table5[[#This Row],[Paid_Amt]]</f>
        <v>17.77</v>
      </c>
      <c r="G22" t="s">
        <v>106</v>
      </c>
    </row>
    <row r="23" spans="1:7" x14ac:dyDescent="0.25">
      <c r="A23" t="s">
        <v>21</v>
      </c>
      <c r="B23" t="s">
        <v>105</v>
      </c>
      <c r="C23">
        <v>160</v>
      </c>
      <c r="D23">
        <v>17.77</v>
      </c>
      <c r="E23">
        <v>0</v>
      </c>
      <c r="F23" s="29">
        <f>Table5[[#This Row],[Charge_Per_Head]]-Table5[[#This Row],[Paid_Amt]]</f>
        <v>17.77</v>
      </c>
      <c r="G23" t="s">
        <v>106</v>
      </c>
    </row>
    <row r="24" spans="1:7" x14ac:dyDescent="0.25">
      <c r="A24" t="s">
        <v>50</v>
      </c>
      <c r="B24" t="s">
        <v>105</v>
      </c>
      <c r="C24">
        <v>160</v>
      </c>
      <c r="D24">
        <v>17.77</v>
      </c>
      <c r="E24">
        <v>0</v>
      </c>
      <c r="F24" s="29">
        <f>Table5[[#This Row],[Charge_Per_Head]]-Table5[[#This Row],[Paid_Amt]]</f>
        <v>17.77</v>
      </c>
      <c r="G24" t="s">
        <v>106</v>
      </c>
    </row>
    <row r="25" spans="1:7" x14ac:dyDescent="0.25">
      <c r="A25" t="s">
        <v>59</v>
      </c>
      <c r="B25" t="s">
        <v>105</v>
      </c>
      <c r="C25">
        <v>160</v>
      </c>
      <c r="D25">
        <v>17.77</v>
      </c>
      <c r="E25">
        <v>0</v>
      </c>
      <c r="F25" s="29">
        <f>Table5[[#This Row],[Charge_Per_Head]]-Table5[[#This Row],[Paid_Amt]]</f>
        <v>17.77</v>
      </c>
      <c r="G25" t="s">
        <v>106</v>
      </c>
    </row>
    <row r="26" spans="1:7" x14ac:dyDescent="0.25">
      <c r="A26" t="s">
        <v>80</v>
      </c>
      <c r="B26" t="s">
        <v>105</v>
      </c>
      <c r="C26">
        <v>160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D4" sqref="D4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236.37677286261143</v>
      </c>
      <c r="E2" s="3">
        <f>Table6[[#This Row],[Requested_Amount]]-Table6[[#This Row],[Total_Added_Amount]]</f>
        <v>263.62322713738854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48.29846517119244</v>
      </c>
      <c r="E3" s="3">
        <f>Table6[[#This Row],[Requested_Amount]]-Table6[[#This Row],[Total_Added_Amount]]</f>
        <v>251.70153482880755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2026-01-04T20:00:58Z</dcterms:modified>
</cp:coreProperties>
</file>