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1" activeTab="6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27" i="7" l="1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<sst xmlns="http://schemas.openxmlformats.org/spreadsheetml/2006/main" count="1722" uniqueCount="119">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</sst>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49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3"/>
    <tableColumn id="13" name="UserID" dataDxfId="44" totalsRowDxfId="12"/>
    <tableColumn id="8" name="Name" dataDxfId="43" totalsRowDxfId="11"/>
    <tableColumn id="15" name="User_Invested_Amount" dataDxfId="42" totalsRowDxfId="10"/>
    <tableColumn id="17" name="Transaction_ID" dataDxfId="41" totalsRowDxfId="9"/>
    <tableColumn id="16" name="Transaction_Date" dataDxfId="40" totalsRowDxfId="8"/>
    <tableColumn id="3" name="User_Invest_Amount_As_On_Date" dataDxfId="39" totalsRowDxfId="7"/>
    <tableColumn id="6" name="Company_Total_Investment_As_On_Date" dataDxfId="38" totalsRowDxfId="6"/>
    <tableColumn id="10" name="Total_Profit" dataDxfId="37" totalsRowDxfId="5"/>
    <tableColumn id="11" name="Profit_%" dataDxfId="36" totalsRowDxfId="4"/>
    <tableColumn id="7" name="Profit_Without_Tax" dataDxfId="35" totalsRowDxfId="3"/>
    <tableColumn id="4" name="Payment_Status" dataDxfId="34" totalsRowDxfId="2"/>
    <tableColumn id="1" name="Tax_Deduction_%" dataDxfId="18" totalsRowDxfId="1"/>
    <tableColumn id="2" name="Profit_With_Tax" dataDxfId="17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308" workbookViewId="0">
      <selection activeCell="L314" sqref="L314:L31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A332" s="28">
        <v>46028</v>
      </c>
      <c r="B332" s="33" t="s">
        <v>7</v>
      </c>
      <c r="C332" s="33" t="s">
        <v>8</v>
      </c>
      <c r="G332" s="33">
        <v>4740</v>
      </c>
      <c r="H332" s="33">
        <v>20940</v>
      </c>
      <c r="I332" s="15">
        <v>0</v>
      </c>
      <c r="J332" s="15">
        <f>Table1[[#This Row],[User_Invest_Amount_As_On_Date]]/Table1[[#This Row],[Company_Total_Investment_As_On_Date]]</f>
        <v>0.22636103151862463</v>
      </c>
      <c r="K332" s="15">
        <f>Table1[[#This Row],[Total_Profit]]*Table1[[#This Row],[Profit_%]]</f>
        <v>0</v>
      </c>
      <c r="M332" s="33"/>
    </row>
    <row r="333" spans="1:13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20940</v>
      </c>
      <c r="I333" s="15">
        <v>0</v>
      </c>
      <c r="J333" s="15">
        <f>Table1[[#This Row],[User_Invest_Amount_As_On_Date]]/Table1[[#This Row],[Company_Total_Investment_As_On_Date]]</f>
        <v>8.1184336198662846E-2</v>
      </c>
      <c r="K333" s="15">
        <f>Table1[[#This Row],[Total_Profit]]*Table1[[#This Row],[Profit_%]]</f>
        <v>0</v>
      </c>
      <c r="M333" s="33"/>
    </row>
    <row r="334" spans="1:13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20940</v>
      </c>
      <c r="I334" s="15">
        <v>0</v>
      </c>
      <c r="J334" s="15">
        <f>Table1[[#This Row],[User_Invest_Amount_As_On_Date]]/Table1[[#This Row],[Company_Total_Investment_As_On_Date]]</f>
        <v>4.775549188156638E-2</v>
      </c>
      <c r="K334" s="15">
        <f>Table1[[#This Row],[Total_Profit]]*Table1[[#This Row],[Profit_%]]</f>
        <v>0</v>
      </c>
      <c r="M334" s="33"/>
    </row>
    <row r="335" spans="1:13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20940</v>
      </c>
      <c r="I335" s="15">
        <v>0</v>
      </c>
      <c r="J335" s="15">
        <f>Table1[[#This Row],[User_Invest_Amount_As_On_Date]]/Table1[[#This Row],[Company_Total_Investment_As_On_Date]]</f>
        <v>0.28653295128939826</v>
      </c>
      <c r="K335" s="15">
        <f>Table1[[#This Row],[Total_Profit]]*Table1[[#This Row],[Profit_%]]</f>
        <v>0</v>
      </c>
      <c r="M335" s="33"/>
    </row>
    <row r="336" spans="1:13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20940</v>
      </c>
      <c r="I336" s="15">
        <v>0</v>
      </c>
      <c r="J336" s="15">
        <f>Table1[[#This Row],[User_Invest_Amount_As_On_Date]]/Table1[[#This Row],[Company_Total_Investment_As_On_Date]]</f>
        <v>4.775549188156638E-2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20940</v>
      </c>
      <c r="I337" s="15">
        <v>0</v>
      </c>
      <c r="J337" s="15">
        <f>Table1[[#This Row],[User_Invest_Amount_As_On_Date]]/Table1[[#This Row],[Company_Total_Investment_As_On_Date]]</f>
        <v>9.5510983763132759E-2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20940</v>
      </c>
      <c r="I338" s="15">
        <v>0</v>
      </c>
      <c r="J338" s="15">
        <f>Table1[[#This Row],[User_Invest_Amount_As_On_Date]]/Table1[[#This Row],[Company_Total_Investment_As_On_Date]]</f>
        <v>9.5510983763132759E-2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20940</v>
      </c>
      <c r="I339" s="15">
        <v>0</v>
      </c>
      <c r="J339" s="15">
        <f>Table1[[#This Row],[User_Invest_Amount_As_On_Date]]/Table1[[#This Row],[Company_Total_Investment_As_On_Date]]</f>
        <v>4.775549188156638E-2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20940</v>
      </c>
      <c r="I340" s="15">
        <v>0</v>
      </c>
      <c r="J340" s="15">
        <f>Table1[[#This Row],[User_Invest_Amount_As_On_Date]]/Table1[[#This Row],[Company_Total_Investment_As_On_Date]]</f>
        <v>4.775549188156638E-2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20940</v>
      </c>
      <c r="I341" s="15">
        <v>0</v>
      </c>
      <c r="J341" s="15">
        <f>Table1[[#This Row],[User_Invest_Amount_As_On_Date]]/Table1[[#This Row],[Company_Total_Investment_As_On_Date]]</f>
        <v>2.387774594078319E-2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7" sqref="D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opLeftCell="A289" workbookViewId="0">
      <selection activeCell="F300" sqref="F30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5.285156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78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41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/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E28" sqref="E2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17.77</v>
      </c>
      <c r="F19" s="29">
        <f>Table5[[#This Row],[Charge_Per_Head]]-Table5[[#This Row],[Paid_Amt]]</f>
        <v>0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17.77</v>
      </c>
      <c r="F26" s="29">
        <f>Table5[[#This Row],[Charge_Per_Head]]-Table5[[#This Row],[Paid_Amt]]</f>
        <v>0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tabSelected="1" workbookViewId="0">
      <selection activeCell="E27" sqref="E27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2026-01-05T10:08:04Z</dcterms:modified>
</cp:coreProperties>
</file>