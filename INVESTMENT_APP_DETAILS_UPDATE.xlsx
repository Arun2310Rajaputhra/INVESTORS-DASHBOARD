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4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80" i="1" l="1"/>
  <c r="J279" i="1"/>
  <c r="J278" i="1"/>
  <c r="J277" i="1"/>
  <c r="J276" i="1"/>
  <c r="J275" i="1"/>
  <c r="J274" i="1"/>
  <c r="J273" i="1"/>
  <c r="J272" i="1"/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<sst xmlns="http://schemas.openxmlformats.org/spreadsheetml/2006/main" count="1380" uniqueCount="88">
  <si>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</si>
  <si>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</si>
  <si>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</si>
  <si>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</si>
  <si>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</si>
  <si>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</si>
  <si>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</si>
  <si>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</si>
  <si>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</si>
  <si>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</si>
  <si>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</si>
  <si>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</si>
  <si>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</si>
  <si>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</si>
  <si>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</si>
  <si>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</si>
  <si>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</si>
  <si>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</si>
  <si>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</si>
  <si>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</si>
  <si>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</si>
  <si>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</si>
  <si>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</si>
  <si>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</si>
  <si>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</si>
  <si>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</si>
  <si>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</si>
  <si>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</si>
  <si>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</si>
  <si>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</si>
  <si>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</si>
  <si>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</si>
  <si>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</si>
  <si>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</si>
  <si>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</si>
  <si>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</si>
  <si>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</si>
  <si>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</si>
  <si>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</si>
  <si>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</si>
  <si>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</si>
  <si>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</si>
  <si>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</si>
  <si>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</si>
  <si>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</si>
  <si>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</si>
  <si>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</si>
  <si>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</si>
  <si>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</si>
  <si>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</si>
  <si>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</si>
  <si>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</si>
  <si>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</si>
  <si>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</si>
  <si>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</si>
  <si>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</si>
  <si>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</si>
  <si>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</si>
  <si>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</si>
  <si>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</si>
  <si>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</si>
  <si>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</si>
  <si>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</si>
  <si>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</si>
  <si>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</si>
  <si>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</si>
  <si>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</si>
  <si>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</si>
  <si>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</si>
  <si>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</si>
  <si>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</si>
  <si>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</si>
  <si>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</si>
  <si>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</si>
  <si>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</si>
  <si>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</si>
  <si>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</si>
  <si>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</si>
  <si>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</si>
  <si>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</si>
  <si>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</si>
  <si>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</si>
  <si>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</si>
  <si>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</si>
  <si>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</si>
  <si>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</si>
  <si>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</si>
  <si>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Profit Calculates Next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</si>
</sst>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D253" workbookViewId="0">
      <selection activeCell="I278" sqref="I278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79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79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79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79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79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79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79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79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79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79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79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79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79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79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79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79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/>
      <c r="J272" s="15">
        <f>Table1[[#This Row],[User_Invest_Amount_As_On_Date]]/Table1[[#This Row],[Company_Total_Investment_As_On_Date]]</f>
        <v>0.2413793103448276</v>
      </c>
      <c r="L272" s="14" t="s">
        <v>79</v>
      </c>
    </row>
    <row r="273" spans="1:12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/>
      <c r="J273" s="15">
        <f>Table1[[#This Row],[User_Invest_Amount_As_On_Date]]/Table1[[#This Row],[Company_Total_Investment_As_On_Date]]</f>
        <v>0.10344827586206896</v>
      </c>
      <c r="L273" s="14" t="s">
        <v>79</v>
      </c>
    </row>
    <row r="274" spans="1:12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/>
      <c r="J274" s="15">
        <f>Table1[[#This Row],[User_Invest_Amount_As_On_Date]]/Table1[[#This Row],[Company_Total_Investment_As_On_Date]]</f>
        <v>6.8965517241379309E-2</v>
      </c>
      <c r="L274" s="14" t="s">
        <v>79</v>
      </c>
    </row>
    <row r="275" spans="1:12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/>
      <c r="J275" s="15">
        <f>Table1[[#This Row],[User_Invest_Amount_As_On_Date]]/Table1[[#This Row],[Company_Total_Investment_As_On_Date]]</f>
        <v>0.10344827586206896</v>
      </c>
      <c r="L275" s="14" t="s">
        <v>79</v>
      </c>
    </row>
    <row r="276" spans="1:12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/>
      <c r="J276" s="15">
        <f>Table1[[#This Row],[User_Invest_Amount_As_On_Date]]/Table1[[#This Row],[Company_Total_Investment_As_On_Date]]</f>
        <v>6.8965517241379309E-2</v>
      </c>
      <c r="L276" s="14" t="s">
        <v>79</v>
      </c>
    </row>
    <row r="277" spans="1:12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/>
      <c r="J277" s="15">
        <f>Table1[[#This Row],[User_Invest_Amount_As_On_Date]]/Table1[[#This Row],[Company_Total_Investment_As_On_Date]]</f>
        <v>0.13793103448275862</v>
      </c>
      <c r="L277" s="14" t="s">
        <v>79</v>
      </c>
    </row>
    <row r="278" spans="1:12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/>
      <c r="J278" s="15">
        <f>Table1[[#This Row],[User_Invest_Amount_As_On_Date]]/Table1[[#This Row],[Company_Total_Investment_As_On_Date]]</f>
        <v>0.13793103448275862</v>
      </c>
      <c r="L278" s="14" t="s">
        <v>79</v>
      </c>
    </row>
    <row r="279" spans="1:12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/>
      <c r="J279" s="15">
        <f>Table1[[#This Row],[User_Invest_Amount_As_On_Date]]/Table1[[#This Row],[Company_Total_Investment_As_On_Date]]</f>
        <v>6.8965517241379309E-2</v>
      </c>
      <c r="L279" s="14" t="s">
        <v>79</v>
      </c>
    </row>
    <row r="280" spans="1:12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/>
      <c r="J280" s="15">
        <f>Table1[[#This Row],[User_Invest_Amount_As_On_Date]]/Table1[[#This Row],[Company_Total_Investment_As_On_Date]]</f>
        <v>6.8965517241379309E-2</v>
      </c>
      <c r="L280" s="14" t="s">
        <v>79</v>
      </c>
    </row>
    <row r="281" spans="1:12" x14ac:dyDescent="0.25">
      <c r="I281" s="15"/>
    </row>
    <row r="282" spans="1:12" x14ac:dyDescent="0.25">
      <c r="I282" s="15"/>
    </row>
    <row r="283" spans="1:12" x14ac:dyDescent="0.25">
      <c r="I283" s="15"/>
    </row>
    <row r="284" spans="1:12" x14ac:dyDescent="0.25">
      <c r="I284" s="15"/>
    </row>
    <row r="285" spans="1:12" x14ac:dyDescent="0.25">
      <c r="I285" s="15"/>
    </row>
    <row r="286" spans="1:12" x14ac:dyDescent="0.25">
      <c r="I286" s="15"/>
    </row>
    <row r="287" spans="1:12" x14ac:dyDescent="0.25">
      <c r="I287" s="15"/>
    </row>
    <row r="288" spans="1:12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14" sqref="D1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3500</v>
      </c>
      <c r="E2" s="3">
        <f>SUMIFS(Daily_Report!E:E,Daily_Report!B:B,Table2[[#This Row],[UserID]])</f>
        <v>2894.2503047312002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1693.8380746809853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582.42676931967981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1690.6691968479283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889.39614253905302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2254.2255957972375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2061.322610722611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807.86130536130543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0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41" workbookViewId="0">
      <selection activeCell="D260" sqref="D26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79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79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79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79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79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79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79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79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79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79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79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79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79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79</v>
      </c>
      <c r="G256" s="15">
        <v>748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79</v>
      </c>
      <c r="G257" s="15">
        <v>748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79</v>
      </c>
      <c r="G258" s="15">
        <v>748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 t="s">
        <v>87</v>
      </c>
      <c r="F260" s="14" t="s">
        <v>79</v>
      </c>
      <c r="G260" s="15" t="s">
        <v>87</v>
      </c>
    </row>
    <row r="261" spans="1:7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 t="s">
        <v>87</v>
      </c>
      <c r="F261" s="14" t="s">
        <v>79</v>
      </c>
      <c r="G261" s="15" t="s">
        <v>87</v>
      </c>
    </row>
    <row r="262" spans="1:7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 t="s">
        <v>87</v>
      </c>
      <c r="F262" s="14" t="s">
        <v>79</v>
      </c>
      <c r="G262" s="15" t="s">
        <v>87</v>
      </c>
    </row>
    <row r="263" spans="1:7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 t="s">
        <v>87</v>
      </c>
      <c r="F263" s="14" t="s">
        <v>79</v>
      </c>
      <c r="G263" s="15" t="s">
        <v>87</v>
      </c>
    </row>
    <row r="264" spans="1:7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 t="s">
        <v>87</v>
      </c>
      <c r="F264" s="14" t="s">
        <v>79</v>
      </c>
      <c r="G264" s="15" t="s">
        <v>87</v>
      </c>
    </row>
    <row r="265" spans="1:7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 t="s">
        <v>87</v>
      </c>
      <c r="F265" s="14" t="s">
        <v>79</v>
      </c>
      <c r="G265" s="15" t="s">
        <v>87</v>
      </c>
    </row>
    <row r="266" spans="1:7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 t="s">
        <v>87</v>
      </c>
      <c r="F266" s="14" t="s">
        <v>79</v>
      </c>
      <c r="G266" s="15" t="s">
        <v>87</v>
      </c>
    </row>
    <row r="267" spans="1:7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 t="s">
        <v>87</v>
      </c>
      <c r="F267" s="14" t="s">
        <v>79</v>
      </c>
      <c r="G267" s="15" t="s">
        <v>87</v>
      </c>
    </row>
    <row r="268" spans="1:7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 t="s">
        <v>87</v>
      </c>
      <c r="F268" s="14" t="s">
        <v>79</v>
      </c>
      <c r="G268" s="15" t="s">
        <v>87</v>
      </c>
    </row>
    <row r="269" spans="1:7" x14ac:dyDescent="0.25">
      <c r="D269" s="16"/>
      <c r="G269" s="15"/>
    </row>
    <row r="270" spans="1:7" x14ac:dyDescent="0.25">
      <c r="D270" s="16"/>
      <c r="G270" s="15"/>
    </row>
    <row r="271" spans="1:7" x14ac:dyDescent="0.25">
      <c r="D271" s="16"/>
      <c r="G271" s="15"/>
    </row>
    <row r="272" spans="1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tabSelected="1" workbookViewId="0">
      <selection activeCell="B18" sqref="B18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2025-12-30T18:46:17Z</dcterms:modified>
</cp:coreProperties>
</file>