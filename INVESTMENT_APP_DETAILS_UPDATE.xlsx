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D3" i="8" l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3" i="8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<sst xmlns="http://schemas.openxmlformats.org/spreadsheetml/2006/main" count="1648" uniqueCount="110">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</sst>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4"/>
    <tableColumn id="13" name="UserID" dataDxfId="43" totalsRowDxfId="13"/>
    <tableColumn id="8" name="Name" dataDxfId="42" totalsRowDxfId="12"/>
    <tableColumn id="15" name="User_Invested_Amount" dataDxfId="41" totalsRowDxfId="11"/>
    <tableColumn id="17" name="Transaction_ID" dataDxfId="40" totalsRowDxfId="10"/>
    <tableColumn id="16" name="Transaction_Date" dataDxfId="39" totalsRowDxfId="9"/>
    <tableColumn id="3" name="User_Invest_Amount_As_On_Date" dataDxfId="38" totalsRowDxfId="8"/>
    <tableColumn id="6" name="Company_Total_Investment_As_On_Date" dataDxfId="37" totalsRowDxfId="7"/>
    <tableColumn id="10" name="Total_Profit" dataDxfId="36" totalsRowDxfId="6"/>
    <tableColumn id="11" name="Profit_%" dataDxfId="35" totalsRowDxfId="5"/>
    <tableColumn id="7" name="Profit_Without_Tax" dataDxfId="34" totalsRowDxfId="4"/>
    <tableColumn id="4" name="Payment_Status" dataDxfId="33" totalsRowDxfId="3"/>
    <tableColumn id="1" name="Tax_Deduction_%" dataDxfId="17" totalsRowDxfId="2"/>
    <tableColumn id="2" name="Profit_With_Tax" dataDxfId="16" totalsRowDxfId="1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6" totalsRowShown="0">
  <autoFilter ref="A1:G26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5">
      <calculatedColumnFormula>SUMIFS(Daily_Report!E:E,Daily_Report!H:H,Re_Investment_Details!C:C)</calculatedColumnFormula>
    </tableColumn>
    <tableColumn id="5" name="Pending_Amount_To_Be_Add" dataDxfId="0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E301" workbookViewId="0">
      <selection activeCell="M323" sqref="M32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78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78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78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78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78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78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78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/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/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/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/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/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/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/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/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/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I332" s="15"/>
      <c r="M332" s="33"/>
    </row>
    <row r="333" spans="1:13" x14ac:dyDescent="0.25">
      <c r="I333" s="15"/>
      <c r="M333" s="33"/>
    </row>
    <row r="334" spans="1:13" x14ac:dyDescent="0.25">
      <c r="I334" s="15"/>
      <c r="M334" s="33"/>
    </row>
    <row r="335" spans="1:13" x14ac:dyDescent="0.25">
      <c r="I335" s="15"/>
      <c r="M335" s="33"/>
    </row>
    <row r="336" spans="1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3" sqref="D3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t="s">
        <v>38</v>
      </c>
    </row>
    <row r="3" spans="1:6" x14ac:dyDescent="0.25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t="s">
        <v>42</v>
      </c>
    </row>
    <row r="4" spans="1:6" x14ac:dyDescent="0.25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t="s">
        <v>44</v>
      </c>
    </row>
    <row r="5" spans="1:6" x14ac:dyDescent="0.25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t="s">
        <v>41</v>
      </c>
    </row>
    <row r="6" spans="1:6" x14ac:dyDescent="0.25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t="s">
        <v>40</v>
      </c>
    </row>
    <row r="7" spans="1:6" x14ac:dyDescent="0.25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t="s">
        <v>64</v>
      </c>
    </row>
    <row r="10" spans="1:6" x14ac:dyDescent="0.25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t="s">
        <v>88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abSelected="1" topLeftCell="A291" workbookViewId="0">
      <selection activeCell="H312" sqref="H312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</row>
    <row r="299" spans="1:8" x14ac:dyDescent="0.25">
      <c r="D299" s="16"/>
      <c r="G299" s="15"/>
    </row>
    <row r="300" spans="1:8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14" t="s">
        <v>78</v>
      </c>
      <c r="G300" s="15">
        <v>512</v>
      </c>
    </row>
    <row r="301" spans="1:8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14" t="s">
        <v>91</v>
      </c>
      <c r="G301" s="15">
        <v>512</v>
      </c>
      <c r="H301" s="14" t="s">
        <v>109</v>
      </c>
    </row>
    <row r="302" spans="1:8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33" t="s">
        <v>78</v>
      </c>
      <c r="G302" s="15">
        <v>512</v>
      </c>
      <c r="H302" s="33"/>
    </row>
    <row r="303" spans="1:8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33" t="s">
        <v>78</v>
      </c>
      <c r="G303" s="15">
        <v>512</v>
      </c>
    </row>
    <row r="304" spans="1:8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33" t="s">
        <v>78</v>
      </c>
      <c r="G304" s="15">
        <v>512</v>
      </c>
    </row>
    <row r="305" spans="1:8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33" t="s">
        <v>78</v>
      </c>
      <c r="G305" s="15">
        <v>512</v>
      </c>
    </row>
    <row r="306" spans="1:8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33" t="s">
        <v>78</v>
      </c>
      <c r="G306" s="15">
        <v>512</v>
      </c>
    </row>
    <row r="307" spans="1:8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33" t="s">
        <v>78</v>
      </c>
      <c r="G307" s="15">
        <v>512</v>
      </c>
    </row>
    <row r="308" spans="1:8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</row>
    <row r="309" spans="1:8" x14ac:dyDescent="0.25">
      <c r="D309" s="16"/>
      <c r="G309" s="15"/>
    </row>
    <row r="310" spans="1:8" x14ac:dyDescent="0.25">
      <c r="A310" s="28">
        <v>46027</v>
      </c>
      <c r="B310" s="33" t="s">
        <v>7</v>
      </c>
      <c r="C310" s="33">
        <v>4740</v>
      </c>
      <c r="D310" s="33">
        <v>20440</v>
      </c>
      <c r="G310" s="15"/>
    </row>
    <row r="311" spans="1:8" x14ac:dyDescent="0.25">
      <c r="A311" s="28">
        <v>46027</v>
      </c>
      <c r="B311" s="33" t="s">
        <v>12</v>
      </c>
      <c r="C311" s="33">
        <v>1700</v>
      </c>
      <c r="D311" s="33">
        <v>20440</v>
      </c>
      <c r="F311" s="14" t="s">
        <v>91</v>
      </c>
      <c r="G311" s="15"/>
      <c r="H311" s="14" t="s">
        <v>109</v>
      </c>
    </row>
    <row r="312" spans="1:8" x14ac:dyDescent="0.25">
      <c r="A312" s="28">
        <v>46027</v>
      </c>
      <c r="B312" s="33" t="s">
        <v>14</v>
      </c>
      <c r="C312" s="33">
        <v>1000</v>
      </c>
      <c r="D312" s="33">
        <v>20440</v>
      </c>
      <c r="G312" s="15"/>
    </row>
    <row r="313" spans="1:8" x14ac:dyDescent="0.25">
      <c r="A313" s="28">
        <v>46027</v>
      </c>
      <c r="B313" s="33" t="s">
        <v>17</v>
      </c>
      <c r="C313" s="33">
        <v>6000</v>
      </c>
      <c r="D313" s="33">
        <v>20440</v>
      </c>
      <c r="G313" s="15"/>
    </row>
    <row r="314" spans="1:8" x14ac:dyDescent="0.25">
      <c r="A314" s="28">
        <v>46027</v>
      </c>
      <c r="B314" s="33" t="s">
        <v>19</v>
      </c>
      <c r="C314" s="33">
        <v>1000</v>
      </c>
      <c r="D314" s="33">
        <v>20440</v>
      </c>
      <c r="G314" s="15"/>
    </row>
    <row r="315" spans="1:8" x14ac:dyDescent="0.25">
      <c r="A315" s="28">
        <v>46027</v>
      </c>
      <c r="B315" s="33" t="s">
        <v>21</v>
      </c>
      <c r="C315" s="33">
        <v>2000</v>
      </c>
      <c r="D315" s="33">
        <v>20440</v>
      </c>
      <c r="G315" s="15"/>
    </row>
    <row r="316" spans="1:8" x14ac:dyDescent="0.25">
      <c r="A316" s="28">
        <v>46027</v>
      </c>
      <c r="B316" s="33" t="s">
        <v>50</v>
      </c>
      <c r="C316" s="33">
        <v>2000</v>
      </c>
      <c r="D316" s="33">
        <v>20440</v>
      </c>
      <c r="G316" s="15"/>
    </row>
    <row r="317" spans="1:8" x14ac:dyDescent="0.25">
      <c r="A317" s="28">
        <v>46027</v>
      </c>
      <c r="B317" s="33" t="s">
        <v>59</v>
      </c>
      <c r="C317" s="33">
        <v>1000</v>
      </c>
      <c r="D317" s="33">
        <v>20440</v>
      </c>
      <c r="G317" s="15"/>
    </row>
    <row r="318" spans="1:8" x14ac:dyDescent="0.25">
      <c r="A318" s="28">
        <v>46027</v>
      </c>
      <c r="B318" s="33" t="s">
        <v>80</v>
      </c>
      <c r="C318" s="33">
        <v>1000</v>
      </c>
      <c r="D318" s="33">
        <v>20440</v>
      </c>
      <c r="F318" s="33" t="s">
        <v>91</v>
      </c>
      <c r="G318" s="15"/>
      <c r="H318" s="33" t="s">
        <v>93</v>
      </c>
    </row>
    <row r="319" spans="1:8" x14ac:dyDescent="0.25">
      <c r="D319" s="16"/>
      <c r="G319" s="15"/>
    </row>
    <row r="320" spans="1:8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>
      <selection activeCell="E18" sqref="E1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160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160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160</v>
      </c>
      <c r="D20">
        <v>17.77</v>
      </c>
      <c r="E20">
        <v>0</v>
      </c>
      <c r="F20" s="29">
        <f>Table5[[#This Row],[Charge_Per_Head]]-Table5[[#This Row],[Paid_Amt]]</f>
        <v>17.77</v>
      </c>
      <c r="G20" t="s">
        <v>106</v>
      </c>
    </row>
    <row r="21" spans="1:7" x14ac:dyDescent="0.25">
      <c r="A21" t="s">
        <v>17</v>
      </c>
      <c r="B21" t="s">
        <v>105</v>
      </c>
      <c r="C21">
        <v>160</v>
      </c>
      <c r="D21">
        <v>17.77</v>
      </c>
      <c r="E21">
        <v>0</v>
      </c>
      <c r="F21" s="29">
        <f>Table5[[#This Row],[Charge_Per_Head]]-Table5[[#This Row],[Paid_Amt]]</f>
        <v>17.77</v>
      </c>
      <c r="G21" t="s">
        <v>106</v>
      </c>
    </row>
    <row r="22" spans="1:7" x14ac:dyDescent="0.25">
      <c r="A22" t="s">
        <v>19</v>
      </c>
      <c r="B22" t="s">
        <v>105</v>
      </c>
      <c r="C22">
        <v>160</v>
      </c>
      <c r="D22">
        <v>17.77</v>
      </c>
      <c r="E22">
        <v>0</v>
      </c>
      <c r="F22" s="29">
        <f>Table5[[#This Row],[Charge_Per_Head]]-Table5[[#This Row],[Paid_Amt]]</f>
        <v>17.77</v>
      </c>
      <c r="G22" t="s">
        <v>106</v>
      </c>
    </row>
    <row r="23" spans="1:7" x14ac:dyDescent="0.25">
      <c r="A23" t="s">
        <v>21</v>
      </c>
      <c r="B23" t="s">
        <v>105</v>
      </c>
      <c r="C23">
        <v>160</v>
      </c>
      <c r="D23">
        <v>17.77</v>
      </c>
      <c r="E23">
        <v>0</v>
      </c>
      <c r="F23" s="29">
        <f>Table5[[#This Row],[Charge_Per_Head]]-Table5[[#This Row],[Paid_Amt]]</f>
        <v>17.77</v>
      </c>
      <c r="G23" t="s">
        <v>106</v>
      </c>
    </row>
    <row r="24" spans="1:7" x14ac:dyDescent="0.25">
      <c r="A24" t="s">
        <v>50</v>
      </c>
      <c r="B24" t="s">
        <v>105</v>
      </c>
      <c r="C24">
        <v>160</v>
      </c>
      <c r="D24">
        <v>17.77</v>
      </c>
      <c r="E24">
        <v>0</v>
      </c>
      <c r="F24" s="29">
        <f>Table5[[#This Row],[Charge_Per_Head]]-Table5[[#This Row],[Paid_Amt]]</f>
        <v>17.77</v>
      </c>
      <c r="G24" t="s">
        <v>106</v>
      </c>
    </row>
    <row r="25" spans="1:7" x14ac:dyDescent="0.25">
      <c r="A25" t="s">
        <v>59</v>
      </c>
      <c r="B25" t="s">
        <v>105</v>
      </c>
      <c r="C25">
        <v>160</v>
      </c>
      <c r="D25">
        <v>17.77</v>
      </c>
      <c r="E25">
        <v>0</v>
      </c>
      <c r="F25" s="29">
        <f>Table5[[#This Row],[Charge_Per_Head]]-Table5[[#This Row],[Paid_Amt]]</f>
        <v>17.77</v>
      </c>
      <c r="G25" t="s">
        <v>106</v>
      </c>
    </row>
    <row r="26" spans="1:7" x14ac:dyDescent="0.25">
      <c r="A26" t="s">
        <v>80</v>
      </c>
      <c r="B26" t="s">
        <v>105</v>
      </c>
      <c r="C26">
        <v>160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D4" sqref="D4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2026-01-04T19:57:16Z</dcterms:modified>
</cp:coreProperties>
</file>