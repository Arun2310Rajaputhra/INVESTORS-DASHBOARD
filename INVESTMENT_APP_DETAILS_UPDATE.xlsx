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K300" i="1" l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D2" i="8"/>
  <c r="E2" i="8" s="1"/>
  <c r="K290" i="1" l="1"/>
  <c r="K289" i="1"/>
  <c r="K288" i="1"/>
  <c r="K287" i="1"/>
  <c r="K286" i="1"/>
  <c r="K285" i="1"/>
  <c r="K284" i="1"/>
  <c r="K283" i="1"/>
  <c r="K282" i="1"/>
  <c r="J290" i="1"/>
  <c r="J289" i="1"/>
  <c r="J288" i="1"/>
  <c r="J287" i="1"/>
  <c r="J286" i="1"/>
  <c r="J285" i="1"/>
  <c r="J284" i="1"/>
  <c r="J283" i="1"/>
  <c r="J282" i="1"/>
  <c r="J273" i="1" l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<sst xmlns="http://schemas.openxmlformats.org/spreadsheetml/2006/main" count="1469" uniqueCount="99">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</sst>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4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L5641" totalsRowCount="1" headerRowDxfId="43" dataDxfId="42" totalsRowDxfId="41">
  <autoFilter ref="A1:L5640"/>
  <tableColumns count="12">
    <tableColumn id="9" name="Date" dataDxfId="40" totalsRowDxfId="11"/>
    <tableColumn id="13" name="UserID" dataDxfId="39" totalsRowDxfId="10"/>
    <tableColumn id="8" name="Name" dataDxfId="38" totalsRowDxfId="9"/>
    <tableColumn id="15" name="User_Invested_Amount" dataDxfId="37" totalsRowDxfId="8"/>
    <tableColumn id="17" name="Transaction_ID" dataDxfId="36" totalsRowDxfId="7"/>
    <tableColumn id="16" name="Transaction_Date" dataDxfId="35" totalsRowDxfId="6"/>
    <tableColumn id="3" name="User_Invest_Amount_As_On_Date" dataDxfId="34" totalsRowDxfId="5"/>
    <tableColumn id="6" name="Company_Total_Investment_As_On_Date" dataDxfId="33" totalsRowDxfId="4"/>
    <tableColumn id="10" name="Total_Profit" dataDxfId="32" totalsRowDxfId="3"/>
    <tableColumn id="11" name="Profit_%" dataDxfId="31" totalsRowDxfId="2"/>
    <tableColumn id="7" name="Profit" dataDxfId="30" totalsRowDxfId="1"/>
    <tableColumn id="4" name="Payment_Status" dataDxfId="29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8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27" dataDxfId="25" headerRowBorderDxfId="26" tableBorderDxfId="24" totalsRowBorderDxfId="23">
  <autoFilter ref="A1:H602"/>
  <tableColumns count="8">
    <tableColumn id="1" name="Date" dataDxfId="22"/>
    <tableColumn id="2" name="UserID" dataDxfId="21"/>
    <tableColumn id="3" name="Invest_Amount" dataDxfId="20"/>
    <tableColumn id="6" name="Company_Total_Invest" dataDxfId="19"/>
    <tableColumn id="4" name="Profit" dataDxfId="18"/>
    <tableColumn id="5" name="Payment" dataDxfId="17"/>
    <tableColumn id="7" name="Total_Profit" dataDxfId="16"/>
    <tableColumn id="8" name="Re-Invest_ID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5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3">
      <calculatedColumnFormula>SUMIFS(Daily_Report!E:E,Daily_Report!H:H,Re_Investment_Details!C:C)</calculatedColumnFormula>
    </tableColumn>
    <tableColumn id="5" name="Pending_Amount_To_Be_Add" dataDxfId="12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D273" workbookViewId="0">
      <selection activeCell="K292" sqref="K292:K30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79</v>
      </c>
    </row>
    <row r="273" spans="1:12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79</v>
      </c>
    </row>
    <row r="274" spans="1:12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79</v>
      </c>
    </row>
    <row r="275" spans="1:12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79</v>
      </c>
    </row>
    <row r="276" spans="1:12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79</v>
      </c>
    </row>
    <row r="277" spans="1:12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79</v>
      </c>
    </row>
    <row r="278" spans="1:12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79</v>
      </c>
    </row>
    <row r="279" spans="1:12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79</v>
      </c>
    </row>
    <row r="280" spans="1:12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93</v>
      </c>
    </row>
    <row r="281" spans="1:12" x14ac:dyDescent="0.25">
      <c r="I281" s="15"/>
    </row>
    <row r="282" spans="1:12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79</v>
      </c>
    </row>
    <row r="283" spans="1:12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79</v>
      </c>
    </row>
    <row r="284" spans="1:12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79</v>
      </c>
    </row>
    <row r="285" spans="1:12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79</v>
      </c>
    </row>
    <row r="286" spans="1:12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79</v>
      </c>
    </row>
    <row r="287" spans="1:12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79</v>
      </c>
    </row>
    <row r="288" spans="1:12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79</v>
      </c>
    </row>
    <row r="289" spans="1:12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79</v>
      </c>
    </row>
    <row r="290" spans="1:12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93</v>
      </c>
    </row>
    <row r="291" spans="1:12" x14ac:dyDescent="0.25">
      <c r="I291" s="15"/>
    </row>
    <row r="292" spans="1:12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962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228.47499999999999</v>
      </c>
      <c r="L292" s="14" t="s">
        <v>79</v>
      </c>
    </row>
    <row r="293" spans="1:12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>
        <v>962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102.21249999999999</v>
      </c>
      <c r="L293" s="14" t="s">
        <v>79</v>
      </c>
    </row>
    <row r="294" spans="1:12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962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60.125</v>
      </c>
      <c r="L294" s="14" t="s">
        <v>79</v>
      </c>
    </row>
    <row r="295" spans="1:12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>
        <v>962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150.3125</v>
      </c>
      <c r="L295" s="14" t="s">
        <v>79</v>
      </c>
    </row>
    <row r="296" spans="1:12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962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60.125</v>
      </c>
      <c r="L296" s="14" t="s">
        <v>79</v>
      </c>
    </row>
    <row r="297" spans="1:12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962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120.25</v>
      </c>
      <c r="L297" s="14" t="s">
        <v>79</v>
      </c>
    </row>
    <row r="298" spans="1:12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962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120.25</v>
      </c>
      <c r="L298" s="14" t="s">
        <v>79</v>
      </c>
    </row>
    <row r="299" spans="1:12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962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60.125</v>
      </c>
      <c r="L299" s="14" t="s">
        <v>79</v>
      </c>
    </row>
    <row r="300" spans="1:12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>
        <v>962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60.125</v>
      </c>
      <c r="L300" s="14" t="s">
        <v>79</v>
      </c>
    </row>
    <row r="301" spans="1:12" x14ac:dyDescent="0.25">
      <c r="I301" s="15"/>
    </row>
    <row r="302" spans="1:12" x14ac:dyDescent="0.25">
      <c r="I302" s="15"/>
    </row>
    <row r="303" spans="1:12" x14ac:dyDescent="0.25">
      <c r="I303" s="15"/>
    </row>
    <row r="304" spans="1:12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2" sqref="E2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3537.206665402216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1966.8485709531196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756.41710016776938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2011.7796931200626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1063.3864733871426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2602.2062574934162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2409.3032724187897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981.85163620939488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173.99033084808946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abSelected="1" topLeftCell="A263" workbookViewId="0">
      <selection activeCell="G280" sqref="G280:G28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94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79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79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79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79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79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79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79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79</v>
      </c>
      <c r="G267" s="15">
        <v>880</v>
      </c>
    </row>
    <row r="268" spans="1:8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93</v>
      </c>
      <c r="G268" s="15">
        <v>880</v>
      </c>
      <c r="H268" s="14" t="s">
        <v>95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202.06756756756755</v>
      </c>
      <c r="F270" s="14" t="s">
        <v>79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79.763513513513516</v>
      </c>
      <c r="F271" s="14" t="s">
        <v>79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53.175675675675677</v>
      </c>
      <c r="F272" s="14" t="s">
        <v>79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79.763513513513516</v>
      </c>
      <c r="F273" s="14" t="s">
        <v>79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53.175675675675677</v>
      </c>
      <c r="F274" s="14" t="s">
        <v>79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106.35135135135135</v>
      </c>
      <c r="F275" s="14" t="s">
        <v>79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106.35135135135135</v>
      </c>
      <c r="F276" s="14" t="s">
        <v>79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53.175675675675677</v>
      </c>
      <c r="F277" s="14" t="s">
        <v>79</v>
      </c>
      <c r="G277" s="15">
        <v>787</v>
      </c>
    </row>
    <row r="278" spans="1:8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53.175675675675677</v>
      </c>
      <c r="F278" s="14" t="s">
        <v>93</v>
      </c>
      <c r="G278" s="15">
        <v>787</v>
      </c>
      <c r="H278" s="14" t="s">
        <v>95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228.47499999999999</v>
      </c>
      <c r="F280" s="14" t="s">
        <v>79</v>
      </c>
      <c r="G280" s="15">
        <v>962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102.21249999999999</v>
      </c>
      <c r="F281" s="14" t="s">
        <v>79</v>
      </c>
      <c r="G281" s="15">
        <v>962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60.125</v>
      </c>
      <c r="F282" s="14" t="s">
        <v>79</v>
      </c>
      <c r="G282" s="15">
        <v>962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150.3125</v>
      </c>
      <c r="F283" s="14" t="s">
        <v>79</v>
      </c>
      <c r="G283" s="15">
        <v>962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60.125</v>
      </c>
      <c r="F284" s="14" t="s">
        <v>79</v>
      </c>
      <c r="G284" s="15">
        <v>962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120.25</v>
      </c>
      <c r="F285" s="14" t="s">
        <v>79</v>
      </c>
      <c r="G285" s="15">
        <v>962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120.25</v>
      </c>
      <c r="F286" s="14" t="s">
        <v>79</v>
      </c>
      <c r="G286" s="15">
        <v>962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60.125</v>
      </c>
      <c r="F287" s="14" t="s">
        <v>79</v>
      </c>
      <c r="G287" s="15">
        <v>962</v>
      </c>
    </row>
    <row r="288" spans="1:8" x14ac:dyDescent="0.25">
      <c r="A288" s="28">
        <v>46024</v>
      </c>
      <c r="B288" s="14" t="s">
        <v>81</v>
      </c>
      <c r="C288" s="14">
        <v>1000</v>
      </c>
      <c r="D288" s="14">
        <v>16000</v>
      </c>
      <c r="E288" s="15">
        <v>60.125</v>
      </c>
      <c r="F288" s="14" t="s">
        <v>93</v>
      </c>
      <c r="G288" s="15">
        <v>962</v>
      </c>
      <c r="H288" s="14" t="s">
        <v>95</v>
      </c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E18" sqref="E18"/>
    </sheetView>
  </sheetViews>
  <sheetFormatPr defaultRowHeight="15" x14ac:dyDescent="0.25"/>
  <cols>
    <col min="2" max="3" width="20.85546875" customWidth="1"/>
    <col min="4" max="4" width="17.140625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91</v>
      </c>
      <c r="C1" t="s">
        <v>94</v>
      </c>
      <c r="D1" t="s">
        <v>92</v>
      </c>
      <c r="E1" t="s">
        <v>96</v>
      </c>
      <c r="F1" t="s">
        <v>97</v>
      </c>
    </row>
    <row r="2" spans="1:6" x14ac:dyDescent="0.25">
      <c r="A2" t="s">
        <v>81</v>
      </c>
      <c r="B2">
        <v>500</v>
      </c>
      <c r="C2" t="s">
        <v>95</v>
      </c>
      <c r="D2">
        <f>SUMIFS(Daily_Report!E:E,Daily_Report!H:H,Re_Investment_Details!C:C)</f>
        <v>173.99033084808946</v>
      </c>
      <c r="E2">
        <f>Table6[[#This Row],[Requested_Amount]]-Table6[[#This Row],[Total_Added_Amount]]</f>
        <v>326.00966915191054</v>
      </c>
      <c r="F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2026-01-02T18:32:36Z</dcterms:modified>
</cp:coreProperties>
</file>