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J348" i="1" l="1"/>
  <c r="N352" i="1"/>
  <c r="N351" i="1"/>
  <c r="N350" i="1"/>
  <c r="N349" i="1"/>
  <c r="N347" i="1"/>
  <c r="N346" i="1"/>
  <c r="N345" i="1"/>
  <c r="N344" i="1"/>
  <c r="N343" i="1"/>
  <c r="K352" i="1"/>
  <c r="K351" i="1"/>
  <c r="K350" i="1"/>
  <c r="K349" i="1"/>
  <c r="K348" i="1"/>
  <c r="N348" i="1" s="1"/>
  <c r="K347" i="1"/>
  <c r="K346" i="1"/>
  <c r="K345" i="1"/>
  <c r="K344" i="1"/>
  <c r="K343" i="1"/>
  <c r="J352" i="1"/>
  <c r="J351" i="1"/>
  <c r="J350" i="1"/>
  <c r="J349" i="1"/>
  <c r="J347" i="1"/>
  <c r="J346" i="1"/>
  <c r="J345" i="1"/>
  <c r="J344" i="1"/>
  <c r="J343" i="1"/>
  <c r="N341" i="1"/>
  <c r="N340" i="1"/>
  <c r="N339" i="1"/>
  <c r="N338" i="1"/>
  <c r="N337" i="1"/>
  <c r="N336" i="1"/>
  <c r="N335" i="1"/>
  <c r="N334" i="1"/>
  <c r="N333" i="1"/>
  <c r="N332" i="1"/>
  <c r="N330" i="1"/>
  <c r="N329" i="1"/>
  <c r="N328" i="1"/>
  <c r="N327" i="1"/>
  <c r="N326" i="1"/>
  <c r="N325" i="1"/>
  <c r="N324" i="1"/>
  <c r="N323" i="1"/>
  <c r="N322" i="1"/>
  <c r="F27" i="7"/>
  <c r="K330" i="1"/>
  <c r="K329" i="1"/>
  <c r="K328" i="1"/>
  <c r="K327" i="1"/>
  <c r="K326" i="1"/>
  <c r="K325" i="1"/>
  <c r="K324" i="1"/>
  <c r="K323" i="1"/>
  <c r="K322" i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32" i="1"/>
  <c r="K332" i="1" s="1"/>
  <c r="J330" i="1"/>
  <c r="J329" i="1"/>
  <c r="J328" i="1"/>
  <c r="J327" i="1"/>
  <c r="J326" i="1"/>
  <c r="J325" i="1"/>
  <c r="J324" i="1"/>
  <c r="J323" i="1"/>
  <c r="J322" i="1"/>
  <c r="E11" i="2"/>
  <c r="G11" i="2" s="1"/>
  <c r="D3" i="8"/>
  <c r="E3" i="8" s="1"/>
  <c r="N320" i="1"/>
  <c r="N319" i="1"/>
  <c r="N318" i="1"/>
  <c r="N317" i="1"/>
  <c r="N316" i="1"/>
  <c r="N315" i="1"/>
  <c r="N314" i="1"/>
  <c r="N313" i="1"/>
  <c r="N312" i="1"/>
  <c r="K320" i="1"/>
  <c r="K319" i="1"/>
  <c r="K318" i="1"/>
  <c r="K317" i="1"/>
  <c r="K316" i="1"/>
  <c r="K315" i="1"/>
  <c r="K314" i="1"/>
  <c r="K313" i="1"/>
  <c r="K312" i="1"/>
  <c r="J320" i="1"/>
  <c r="J319" i="1"/>
  <c r="J318" i="1"/>
  <c r="J317" i="1"/>
  <c r="J316" i="1"/>
  <c r="J315" i="1"/>
  <c r="J314" i="1"/>
  <c r="J313" i="1"/>
  <c r="J312" i="1"/>
  <c r="E4" i="8"/>
  <c r="E5" i="8"/>
  <c r="E6" i="8"/>
  <c r="E7" i="8"/>
  <c r="E8" i="8"/>
  <c r="F18" i="7"/>
  <c r="F19" i="7"/>
  <c r="F20" i="7"/>
  <c r="F21" i="7"/>
  <c r="F22" i="7"/>
  <c r="F23" i="7"/>
  <c r="F24" i="7"/>
  <c r="F25" i="7"/>
  <c r="F26" i="7"/>
  <c r="K310" i="1"/>
  <c r="N310" i="1" s="1"/>
  <c r="K308" i="1"/>
  <c r="N308" i="1" s="1"/>
  <c r="K306" i="1"/>
  <c r="N306" i="1" s="1"/>
  <c r="K304" i="1"/>
  <c r="N304" i="1" s="1"/>
  <c r="K302" i="1"/>
  <c r="N302" i="1" s="1"/>
  <c r="J310" i="1"/>
  <c r="J309" i="1"/>
  <c r="K309" i="1" s="1"/>
  <c r="N309" i="1" s="1"/>
  <c r="J308" i="1"/>
  <c r="J307" i="1"/>
  <c r="K307" i="1" s="1"/>
  <c r="N307" i="1" s="1"/>
  <c r="J306" i="1"/>
  <c r="J305" i="1"/>
  <c r="K305" i="1" s="1"/>
  <c r="N305" i="1" s="1"/>
  <c r="J304" i="1"/>
  <c r="J303" i="1"/>
  <c r="K303" i="1" s="1"/>
  <c r="N303" i="1" s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G10" i="2" s="1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G3" i="2" s="1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  <c r="G2" i="2" s="1"/>
</calcChain>
</file>

<file path=xl/sharedStrings.xml><?xml version="1.0" encoding="utf-8"?>
<sst xmlns="http://schemas.openxmlformats.org/spreadsheetml/2006/main" count="1795" uniqueCount="121">
  <si>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</si>
  <si>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</si>
  <si>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</si>
  <si>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</si>
  <si>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</si>
  <si>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</si>
  <si>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</si>
  <si>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</si>
  <si>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</si>
  <si>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</si>
  <si>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</si>
  <si>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</si>
  <si>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</si>
  <si>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</si>
  <si>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</si>
  <si>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</si>
  <si>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</si>
  <si>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</si>
  <si>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</si>
  <si>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</si>
  <si>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</si>
  <si>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</si>
  <si>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</si>
  <si>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</si>
  <si>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</si>
  <si>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</si>
  <si>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</si>
  <si>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</si>
  <si>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</si>
  <si>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</si>
  <si>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</si>
  <si>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</si>
  <si>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</si>
  <si>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</si>
  <si>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</si>
  <si>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</si>
  <si>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</si>
  <si>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</si>
  <si>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</si>
  <si>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</si>
  <si>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</si>
  <si>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</si>
  <si>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</si>
  <si>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</si>
  <si>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</si>
  <si>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</si>
  <si>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</si>
  <si>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</si>
  <si>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</si>
  <si>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</si>
  <si>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</si>
  <si>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</si>
  <si>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</si>
  <si>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</si>
  <si>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</si>
  <si>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</si>
  <si>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</si>
  <si>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</si>
  <si>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</si>
  <si>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</si>
  <si>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</si>
  <si>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</si>
  <si>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</si>
  <si>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</si>
  <si>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</si>
  <si>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</si>
  <si>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</si>
  <si>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</si>
  <si>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</si>
  <si>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</si>
  <si>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</si>
  <si>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</si>
  <si>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</si>
  <si>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</si>
  <si>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</si>
  <si>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</si>
  <si>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</si>
  <si>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</si>
  <si>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</si>
  <si>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</si>
  <si>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</si>
  <si>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</si>
  <si>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</si>
  <si>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</si>
  <si>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</si>
  <si>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</si>
  <si>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</si>
  <si>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</si>
  <si>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</si>
  <si>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</si>
  <si>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</si>
  <si>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</si>
  <si>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</si>
  <si>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</si>
  <si>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</si>
  <si>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</si>
  <si>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</si>
  <si>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</si>
  <si>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</si>
  <si>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</si>
  <si>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</si>
  <si>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</si>
  <si>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</si>
  <si>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</si>
  <si>
    <t>VPS Charges For 10th Dec'2025 - Monthly Charge</t>
  </si>
  <si>
    <t>USDT Deposit First Time - To Enable USDT Withdrawal</t>
  </si>
  <si>
    <t>USD1001</t>
  </si>
  <si>
    <t>T019ADD940</t>
  </si>
  <si>
    <t>T020ADD3500</t>
  </si>
  <si>
    <t>R001U002</t>
  </si>
  <si>
    <t>U010</t>
  </si>
  <si>
    <t>Grp Mem Sri Vidya</t>
  </si>
  <si>
    <t>Sri Vidya</t>
  </si>
  <si>
    <t>T021ADD500</t>
  </si>
  <si>
    <t>Not mentioned for security reason</t>
  </si>
  <si>
    <t>Remarks</t>
  </si>
  <si>
    <t>Profit is moved to Re-Investment Section (Re-Invest ID:R001U009)</t>
  </si>
  <si>
    <t>Profit is moved to Re-Investment Section (Re-Invest ID:R001U002)</t>
  </si>
  <si>
    <t>Deducted 17.77/- from Payout due to Platform Charges (Charge ID:USD1001)</t>
  </si>
  <si>
    <t>T022ADD260</t>
  </si>
  <si>
    <t>Difference_Investment_Profit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</si>
</sst>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CCCCCC"/>
      </left>
      <right style="medium">
        <color rgb="FF95B3D7"/>
      </right>
      <top style="medium">
        <color rgb="FF95B3D7"/>
      </top>
      <bottom style="medium">
        <color rgb="FF95B3D7"/>
      </bottom>
      <diagonal/>
    </border>
    <border>
      <left style="medium">
        <color rgb="FFCCCCCC"/>
      </left>
      <right style="medium">
        <color rgb="FF95B3D7"/>
      </right>
      <top style="medium">
        <color rgb="FFCCCCCC"/>
      </top>
      <bottom style="medium">
        <color rgb="FF95B3D7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4" borderId="5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4" borderId="6" xfId="0" applyFont="1" applyFill="1" applyBorder="1" applyAlignment="1">
      <alignment wrapText="1"/>
    </xf>
    <xf numFmtId="0" fontId="0" fillId="0" borderId="0" xfId="0" applyAlignment="1"/>
    <xf numFmtId="2" fontId="0" fillId="0" borderId="0" xfId="0" applyNumberFormat="1" applyAlignment="1"/>
    <xf numFmtId="0" fontId="4" fillId="0" borderId="6" xfId="0" applyFont="1" applyBorder="1" applyAlignment="1"/>
    <xf numFmtId="0" fontId="0" fillId="0" borderId="0" xfId="0" applyFont="1" applyAlignment="1">
      <alignment horizontal="center"/>
    </xf>
  </cellXfs>
  <cellStyles count="1">
    <cellStyle name="Normal" xfId="0" builtinId="0"/>
  </cellStyles>
  <dxfs count="50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9" dataDxfId="48" totalsRowDxfId="47">
  <autoFilter ref="A1:N5640"/>
  <tableColumns count="14">
    <tableColumn id="9" name="Date" dataDxfId="46" totalsRowDxfId="13"/>
    <tableColumn id="13" name="UserID" dataDxfId="45" totalsRowDxfId="12"/>
    <tableColumn id="8" name="Name" dataDxfId="44" totalsRowDxfId="11"/>
    <tableColumn id="15" name="User_Invested_Amount" dataDxfId="43" totalsRowDxfId="10"/>
    <tableColumn id="17" name="Transaction_ID" dataDxfId="42" totalsRowDxfId="9"/>
    <tableColumn id="16" name="Transaction_Date" dataDxfId="41" totalsRowDxfId="8"/>
    <tableColumn id="3" name="User_Invest_Amount_As_On_Date" dataDxfId="40" totalsRowDxfId="7"/>
    <tableColumn id="6" name="Company_Total_Investment_As_On_Date" dataDxfId="39" totalsRowDxfId="6"/>
    <tableColumn id="10" name="Total_Profit" dataDxfId="38" totalsRowDxfId="5"/>
    <tableColumn id="11" name="Profit_%" dataDxfId="37" totalsRowDxfId="4"/>
    <tableColumn id="7" name="Profit_Without_Tax" dataDxfId="36" totalsRowDxfId="3"/>
    <tableColumn id="4" name="Payment_Status" dataDxfId="35" totalsRowDxfId="2"/>
    <tableColumn id="1" name="Tax_Deduction_%" dataDxfId="32" totalsRowDxfId="1"/>
    <tableColumn id="2" name="Profit_With_Tax" dataDxfId="31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G11" totalsRowShown="0">
  <autoFilter ref="A1:G11"/>
  <tableColumns count="7">
    <tableColumn id="1" name="UserID"/>
    <tableColumn id="2" name="Contact_Name"/>
    <tableColumn id="9" name="Name"/>
    <tableColumn id="3" name="Total_Invested_Amount"/>
    <tableColumn id="6" name="Total Profit Earned" dataDxfId="34">
      <calculatedColumnFormula>SUMIFS(Daily_Report!E:E,Daily_Report!B:B,Table2[[#This Row],[UserID]])</calculatedColumnFormula>
    </tableColumn>
    <tableColumn id="5" name="UPI"/>
    <tableColumn id="4" name="Difference_Investment_Profit" dataDxfId="28">
      <calculatedColumnFormula>Table2[[#This Row],[Total Profit Earned]]-Table2[[#This Row],[Total_Invested_Amount]]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I602" totalsRowShown="0" headerRowDxfId="27" dataDxfId="26" headerRowBorderDxfId="24" tableBorderDxfId="25" totalsRowBorderDxfId="23">
  <autoFilter ref="A1:I602"/>
  <tableColumns count="9">
    <tableColumn id="1" name="Date" dataDxfId="22"/>
    <tableColumn id="2" name="UserID" dataDxfId="21"/>
    <tableColumn id="3" name="Invest_Amount" dataDxfId="20"/>
    <tableColumn id="6" name="Company_Total_Invest" dataDxfId="19"/>
    <tableColumn id="4" name="Profit" dataDxfId="18"/>
    <tableColumn id="5" name="Payment" dataDxfId="17"/>
    <tableColumn id="7" name="Total_Profit" dataDxfId="16"/>
    <tableColumn id="8" name="Re-Invest_ID" dataDxfId="15"/>
    <tableColumn id="11" name="Remarks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27" totalsRowShown="0">
  <autoFilter ref="A1:G27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33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30">
      <calculatedColumnFormula>SUMIFS(Daily_Report!E:E,Daily_Report!H:H,Re_Investment_Details!C:C)</calculatedColumnFormula>
    </tableColumn>
    <tableColumn id="5" name="Pending_Amount_To_Be_Add" dataDxfId="29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F327" workbookViewId="0">
      <selection activeCell="N350" sqref="N350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62</v>
      </c>
      <c r="E1" s="1" t="s">
        <v>9</v>
      </c>
      <c r="F1" s="1" t="s">
        <v>11</v>
      </c>
      <c r="G1" s="1" t="s">
        <v>61</v>
      </c>
      <c r="H1" s="1" t="s">
        <v>63</v>
      </c>
      <c r="I1" s="1" t="s">
        <v>5</v>
      </c>
      <c r="J1" s="2" t="s">
        <v>6</v>
      </c>
      <c r="K1" s="2" t="s">
        <v>98</v>
      </c>
      <c r="L1" s="1" t="s">
        <v>16</v>
      </c>
      <c r="M1" s="1" t="s">
        <v>99</v>
      </c>
      <c r="N1" s="2" t="s">
        <v>100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65</v>
      </c>
      <c r="F21" s="14" t="s">
        <v>66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67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68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69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70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79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84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80</v>
      </c>
      <c r="C280" s="14" t="s">
        <v>82</v>
      </c>
      <c r="D280" s="14">
        <v>1000</v>
      </c>
      <c r="E280" s="14" t="s">
        <v>83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91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85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80</v>
      </c>
      <c r="C290" s="14" t="s">
        <v>82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91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86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87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80</v>
      </c>
      <c r="C300" s="14" t="s">
        <v>82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91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80</v>
      </c>
      <c r="C310" s="33" t="s">
        <v>82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91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A312" s="28">
        <v>46026</v>
      </c>
      <c r="B312" s="33" t="s">
        <v>7</v>
      </c>
      <c r="C312" s="33" t="s">
        <v>8</v>
      </c>
      <c r="D312" s="14">
        <v>940</v>
      </c>
      <c r="E312" s="14" t="s">
        <v>107</v>
      </c>
      <c r="G312" s="14">
        <v>4740</v>
      </c>
      <c r="H312" s="14">
        <v>16940</v>
      </c>
      <c r="I312" s="15">
        <v>512</v>
      </c>
      <c r="J312" s="15">
        <f>Table1[[#This Row],[User_Invest_Amount_As_On_Date]]/Table1[[#This Row],[Company_Total_Investment_As_On_Date]]</f>
        <v>0.2798110979929162</v>
      </c>
      <c r="K312" s="15">
        <f>Table1[[#This Row],[Total_Profit]]*Table1[[#This Row],[Profit_%]]</f>
        <v>143.2632821723731</v>
      </c>
      <c r="L312" s="14" t="s">
        <v>39</v>
      </c>
      <c r="M312" s="33">
        <v>0.94</v>
      </c>
      <c r="N312" s="15">
        <f>Table1[[#This Row],[Profit_Without_Tax]]*Table1[[#This Row],[Tax_Deduction_%]]</f>
        <v>134.66748524203069</v>
      </c>
    </row>
    <row r="313" spans="1:14" x14ac:dyDescent="0.25">
      <c r="A313" s="28">
        <v>46026</v>
      </c>
      <c r="B313" s="33" t="s">
        <v>12</v>
      </c>
      <c r="C313" s="33" t="s">
        <v>13</v>
      </c>
      <c r="G313" s="33">
        <v>1700</v>
      </c>
      <c r="H313" s="33">
        <v>16940</v>
      </c>
      <c r="I313" s="15">
        <v>512</v>
      </c>
      <c r="J313" s="15">
        <f>Table1[[#This Row],[User_Invest_Amount_As_On_Date]]/Table1[[#This Row],[Company_Total_Investment_As_On_Date]]</f>
        <v>0.10035419126328217</v>
      </c>
      <c r="K313" s="15">
        <f>Table1[[#This Row],[Total_Profit]]*Table1[[#This Row],[Profit_%]]</f>
        <v>51.381345926800471</v>
      </c>
      <c r="L313" s="14" t="s">
        <v>91</v>
      </c>
      <c r="M313" s="33">
        <v>0.94</v>
      </c>
      <c r="N313" s="15">
        <f>Table1[[#This Row],[Profit_Without_Tax]]*Table1[[#This Row],[Tax_Deduction_%]]</f>
        <v>48.29846517119244</v>
      </c>
    </row>
    <row r="314" spans="1:14" x14ac:dyDescent="0.25">
      <c r="A314" s="28">
        <v>46026</v>
      </c>
      <c r="B314" s="33" t="s">
        <v>14</v>
      </c>
      <c r="C314" s="33" t="s">
        <v>15</v>
      </c>
      <c r="G314" s="33">
        <v>1000</v>
      </c>
      <c r="H314" s="33">
        <v>16940</v>
      </c>
      <c r="I314" s="15">
        <v>512</v>
      </c>
      <c r="J314" s="15">
        <f>Table1[[#This Row],[User_Invest_Amount_As_On_Date]]/Table1[[#This Row],[Company_Total_Investment_As_On_Date]]</f>
        <v>5.9031877213695398E-2</v>
      </c>
      <c r="K314" s="15">
        <f>Table1[[#This Row],[Total_Profit]]*Table1[[#This Row],[Profit_%]]</f>
        <v>30.224321133412044</v>
      </c>
      <c r="L314" s="33" t="s">
        <v>39</v>
      </c>
      <c r="M314" s="33">
        <v>0.94</v>
      </c>
      <c r="N314" s="15">
        <f>Table1[[#This Row],[Profit_Without_Tax]]*Table1[[#This Row],[Tax_Deduction_%]]</f>
        <v>28.41086186540732</v>
      </c>
    </row>
    <row r="315" spans="1:14" x14ac:dyDescent="0.25">
      <c r="A315" s="28">
        <v>46026</v>
      </c>
      <c r="B315" s="33" t="s">
        <v>17</v>
      </c>
      <c r="C315" s="33" t="s">
        <v>18</v>
      </c>
      <c r="G315" s="33">
        <v>2500</v>
      </c>
      <c r="H315" s="33">
        <v>16940</v>
      </c>
      <c r="I315" s="15">
        <v>512</v>
      </c>
      <c r="J315" s="15">
        <f>Table1[[#This Row],[User_Invest_Amount_As_On_Date]]/Table1[[#This Row],[Company_Total_Investment_As_On_Date]]</f>
        <v>0.14757969303423848</v>
      </c>
      <c r="K315" s="15">
        <f>Table1[[#This Row],[Total_Profit]]*Table1[[#This Row],[Profit_%]]</f>
        <v>75.560802833530104</v>
      </c>
      <c r="L315" s="33" t="s">
        <v>39</v>
      </c>
      <c r="M315" s="33">
        <v>0.94</v>
      </c>
      <c r="N315" s="15">
        <f>Table1[[#This Row],[Profit_Without_Tax]]*Table1[[#This Row],[Tax_Deduction_%]]</f>
        <v>71.027154663518289</v>
      </c>
    </row>
    <row r="316" spans="1:14" x14ac:dyDescent="0.25">
      <c r="A316" s="28">
        <v>46026</v>
      </c>
      <c r="B316" s="33" t="s">
        <v>19</v>
      </c>
      <c r="C316" s="33" t="s">
        <v>20</v>
      </c>
      <c r="G316" s="33">
        <v>1000</v>
      </c>
      <c r="H316" s="33">
        <v>16940</v>
      </c>
      <c r="I316" s="15">
        <v>512</v>
      </c>
      <c r="J316" s="15">
        <f>Table1[[#This Row],[User_Invest_Amount_As_On_Date]]/Table1[[#This Row],[Company_Total_Investment_As_On_Date]]</f>
        <v>5.9031877213695398E-2</v>
      </c>
      <c r="K316" s="15">
        <f>Table1[[#This Row],[Total_Profit]]*Table1[[#This Row],[Profit_%]]</f>
        <v>30.224321133412044</v>
      </c>
      <c r="L316" s="33" t="s">
        <v>39</v>
      </c>
      <c r="M316" s="33">
        <v>0.94</v>
      </c>
      <c r="N316" s="15">
        <f>Table1[[#This Row],[Profit_Without_Tax]]*Table1[[#This Row],[Tax_Deduction_%]]</f>
        <v>28.41086186540732</v>
      </c>
    </row>
    <row r="317" spans="1:14" x14ac:dyDescent="0.25">
      <c r="A317" s="28">
        <v>46026</v>
      </c>
      <c r="B317" s="33" t="s">
        <v>21</v>
      </c>
      <c r="C317" s="33" t="s">
        <v>22</v>
      </c>
      <c r="G317" s="33">
        <v>2000</v>
      </c>
      <c r="H317" s="33">
        <v>16940</v>
      </c>
      <c r="I317" s="15">
        <v>512</v>
      </c>
      <c r="J317" s="15">
        <f>Table1[[#This Row],[User_Invest_Amount_As_On_Date]]/Table1[[#This Row],[Company_Total_Investment_As_On_Date]]</f>
        <v>0.1180637544273908</v>
      </c>
      <c r="K317" s="15">
        <f>Table1[[#This Row],[Total_Profit]]*Table1[[#This Row],[Profit_%]]</f>
        <v>60.448642266824088</v>
      </c>
      <c r="L317" s="33" t="s">
        <v>39</v>
      </c>
      <c r="M317" s="33">
        <v>0.94</v>
      </c>
      <c r="N317" s="15">
        <f>Table1[[#This Row],[Profit_Without_Tax]]*Table1[[#This Row],[Tax_Deduction_%]]</f>
        <v>56.821723730814639</v>
      </c>
    </row>
    <row r="318" spans="1:14" x14ac:dyDescent="0.25">
      <c r="A318" s="28">
        <v>46026</v>
      </c>
      <c r="B318" s="33" t="s">
        <v>50</v>
      </c>
      <c r="C318" s="33" t="s">
        <v>51</v>
      </c>
      <c r="G318" s="33">
        <v>2000</v>
      </c>
      <c r="H318" s="33">
        <v>16940</v>
      </c>
      <c r="I318" s="15">
        <v>512</v>
      </c>
      <c r="J318" s="15">
        <f>Table1[[#This Row],[User_Invest_Amount_As_On_Date]]/Table1[[#This Row],[Company_Total_Investment_As_On_Date]]</f>
        <v>0.1180637544273908</v>
      </c>
      <c r="K318" s="15">
        <f>Table1[[#This Row],[Total_Profit]]*Table1[[#This Row],[Profit_%]]</f>
        <v>60.448642266824088</v>
      </c>
      <c r="L318" s="33" t="s">
        <v>39</v>
      </c>
      <c r="M318" s="33">
        <v>0.94</v>
      </c>
      <c r="N318" s="15">
        <f>Table1[[#This Row],[Profit_Without_Tax]]*Table1[[#This Row],[Tax_Deduction_%]]</f>
        <v>56.821723730814639</v>
      </c>
    </row>
    <row r="319" spans="1:14" x14ac:dyDescent="0.25">
      <c r="A319" s="28">
        <v>46026</v>
      </c>
      <c r="B319" s="33" t="s">
        <v>59</v>
      </c>
      <c r="C319" s="33" t="s">
        <v>60</v>
      </c>
      <c r="G319" s="33">
        <v>1000</v>
      </c>
      <c r="H319" s="33">
        <v>16940</v>
      </c>
      <c r="I319" s="15">
        <v>512</v>
      </c>
      <c r="J319" s="15">
        <f>Table1[[#This Row],[User_Invest_Amount_As_On_Date]]/Table1[[#This Row],[Company_Total_Investment_As_On_Date]]</f>
        <v>5.9031877213695398E-2</v>
      </c>
      <c r="K319" s="15">
        <f>Table1[[#This Row],[Total_Profit]]*Table1[[#This Row],[Profit_%]]</f>
        <v>30.224321133412044</v>
      </c>
      <c r="L319" s="33" t="s">
        <v>39</v>
      </c>
      <c r="M319" s="33">
        <v>0.94</v>
      </c>
      <c r="N319" s="15">
        <f>Table1[[#This Row],[Profit_Without_Tax]]*Table1[[#This Row],[Tax_Deduction_%]]</f>
        <v>28.41086186540732</v>
      </c>
    </row>
    <row r="320" spans="1:14" x14ac:dyDescent="0.25">
      <c r="A320" s="28">
        <v>46026</v>
      </c>
      <c r="B320" s="33" t="s">
        <v>80</v>
      </c>
      <c r="C320" s="33" t="s">
        <v>82</v>
      </c>
      <c r="G320" s="33">
        <v>1000</v>
      </c>
      <c r="H320" s="33">
        <v>16940</v>
      </c>
      <c r="I320" s="15">
        <v>512</v>
      </c>
      <c r="J320" s="15">
        <f>Table1[[#This Row],[User_Invest_Amount_As_On_Date]]/Table1[[#This Row],[Company_Total_Investment_As_On_Date]]</f>
        <v>5.9031877213695398E-2</v>
      </c>
      <c r="K320" s="15">
        <f>Table1[[#This Row],[Total_Profit]]*Table1[[#This Row],[Profit_%]]</f>
        <v>30.224321133412044</v>
      </c>
      <c r="L320" s="33" t="s">
        <v>91</v>
      </c>
      <c r="M320" s="33">
        <v>0.94</v>
      </c>
      <c r="N320" s="15">
        <f>Table1[[#This Row],[Profit_Without_Tax]]*Table1[[#This Row],[Tax_Deduction_%]]</f>
        <v>28.41086186540732</v>
      </c>
    </row>
    <row r="321" spans="1:14" x14ac:dyDescent="0.25">
      <c r="I321" s="15"/>
      <c r="M321" s="33"/>
    </row>
    <row r="322" spans="1:14" x14ac:dyDescent="0.25">
      <c r="A322" s="28">
        <v>46027</v>
      </c>
      <c r="B322" s="33" t="s">
        <v>7</v>
      </c>
      <c r="C322" s="33" t="s">
        <v>8</v>
      </c>
      <c r="G322" s="33">
        <v>4740</v>
      </c>
      <c r="H322" s="33">
        <v>20440</v>
      </c>
      <c r="I322" s="15">
        <v>683</v>
      </c>
      <c r="J322" s="15">
        <f>Table1[[#This Row],[User_Invest_Amount_As_On_Date]]/Table1[[#This Row],[Company_Total_Investment_As_On_Date]]</f>
        <v>0.2318982387475538</v>
      </c>
      <c r="K322" s="15">
        <f>Table1[[#This Row],[Total_Profit]]*Table1[[#This Row],[Profit_%]]</f>
        <v>158.38649706457926</v>
      </c>
      <c r="L322" s="14" t="s">
        <v>39</v>
      </c>
      <c r="M322" s="33">
        <v>0.94</v>
      </c>
      <c r="N322" s="15">
        <f>Table1[[#This Row],[Profit_Without_Tax]]*Table1[[#This Row],[Tax_Deduction_%]]</f>
        <v>148.88330724070448</v>
      </c>
    </row>
    <row r="323" spans="1:14" x14ac:dyDescent="0.25">
      <c r="A323" s="28">
        <v>46027</v>
      </c>
      <c r="B323" s="33" t="s">
        <v>12</v>
      </c>
      <c r="C323" s="33" t="s">
        <v>13</v>
      </c>
      <c r="G323" s="33">
        <v>1700</v>
      </c>
      <c r="H323" s="33">
        <v>20440</v>
      </c>
      <c r="I323" s="15">
        <v>683</v>
      </c>
      <c r="J323" s="15">
        <f>Table1[[#This Row],[User_Invest_Amount_As_On_Date]]/Table1[[#This Row],[Company_Total_Investment_As_On_Date]]</f>
        <v>8.3170254403131111E-2</v>
      </c>
      <c r="K323" s="15">
        <f>Table1[[#This Row],[Total_Profit]]*Table1[[#This Row],[Profit_%]]</f>
        <v>56.80528375733855</v>
      </c>
      <c r="L323" s="14" t="s">
        <v>91</v>
      </c>
      <c r="M323" s="33">
        <v>0.94</v>
      </c>
      <c r="N323" s="15">
        <f>Table1[[#This Row],[Profit_Without_Tax]]*Table1[[#This Row],[Tax_Deduction_%]]</f>
        <v>53.396966731898232</v>
      </c>
    </row>
    <row r="324" spans="1:14" x14ac:dyDescent="0.25">
      <c r="A324" s="28">
        <v>46027</v>
      </c>
      <c r="B324" s="33" t="s">
        <v>14</v>
      </c>
      <c r="C324" s="33" t="s">
        <v>15</v>
      </c>
      <c r="G324" s="33">
        <v>1000</v>
      </c>
      <c r="H324" s="33">
        <v>20440</v>
      </c>
      <c r="I324" s="15">
        <v>683</v>
      </c>
      <c r="J324" s="15">
        <f>Table1[[#This Row],[User_Invest_Amount_As_On_Date]]/Table1[[#This Row],[Company_Total_Investment_As_On_Date]]</f>
        <v>4.8923679060665359E-2</v>
      </c>
      <c r="K324" s="15">
        <f>Table1[[#This Row],[Total_Profit]]*Table1[[#This Row],[Profit_%]]</f>
        <v>33.414872798434438</v>
      </c>
      <c r="L324" s="33" t="s">
        <v>39</v>
      </c>
      <c r="M324" s="33">
        <v>0.94</v>
      </c>
      <c r="N324" s="15">
        <f>Table1[[#This Row],[Profit_Without_Tax]]*Table1[[#This Row],[Tax_Deduction_%]]</f>
        <v>31.409980430528371</v>
      </c>
    </row>
    <row r="325" spans="1:14" x14ac:dyDescent="0.25">
      <c r="A325" s="28">
        <v>46027</v>
      </c>
      <c r="B325" s="33" t="s">
        <v>17</v>
      </c>
      <c r="C325" s="33" t="s">
        <v>18</v>
      </c>
      <c r="D325" s="14">
        <v>3500</v>
      </c>
      <c r="E325" s="14" t="s">
        <v>108</v>
      </c>
      <c r="G325" s="33">
        <v>6000</v>
      </c>
      <c r="H325" s="14">
        <v>20440</v>
      </c>
      <c r="I325" s="15">
        <v>683</v>
      </c>
      <c r="J325" s="15">
        <f>Table1[[#This Row],[User_Invest_Amount_As_On_Date]]/Table1[[#This Row],[Company_Total_Investment_As_On_Date]]</f>
        <v>0.29354207436399216</v>
      </c>
      <c r="K325" s="15">
        <f>Table1[[#This Row],[Total_Profit]]*Table1[[#This Row],[Profit_%]]</f>
        <v>200.48923679060664</v>
      </c>
      <c r="L325" s="33" t="s">
        <v>39</v>
      </c>
      <c r="M325" s="33">
        <v>0.94</v>
      </c>
      <c r="N325" s="15">
        <f>Table1[[#This Row],[Profit_Without_Tax]]*Table1[[#This Row],[Tax_Deduction_%]]</f>
        <v>188.45988258317024</v>
      </c>
    </row>
    <row r="326" spans="1:14" x14ac:dyDescent="0.25">
      <c r="A326" s="28">
        <v>46027</v>
      </c>
      <c r="B326" s="33" t="s">
        <v>19</v>
      </c>
      <c r="C326" s="33" t="s">
        <v>20</v>
      </c>
      <c r="G326" s="33">
        <v>1000</v>
      </c>
      <c r="H326" s="33">
        <v>20440</v>
      </c>
      <c r="I326" s="15">
        <v>683</v>
      </c>
      <c r="J326" s="15">
        <f>Table1[[#This Row],[User_Invest_Amount_As_On_Date]]/Table1[[#This Row],[Company_Total_Investment_As_On_Date]]</f>
        <v>4.8923679060665359E-2</v>
      </c>
      <c r="K326" s="15">
        <f>Table1[[#This Row],[Total_Profit]]*Table1[[#This Row],[Profit_%]]</f>
        <v>33.414872798434438</v>
      </c>
      <c r="L326" s="33" t="s">
        <v>39</v>
      </c>
      <c r="M326" s="33">
        <v>0.94</v>
      </c>
      <c r="N326" s="15">
        <f>Table1[[#This Row],[Profit_Without_Tax]]*Table1[[#This Row],[Tax_Deduction_%]]</f>
        <v>31.409980430528371</v>
      </c>
    </row>
    <row r="327" spans="1:14" x14ac:dyDescent="0.25">
      <c r="A327" s="28">
        <v>46027</v>
      </c>
      <c r="B327" s="33" t="s">
        <v>21</v>
      </c>
      <c r="C327" s="33" t="s">
        <v>22</v>
      </c>
      <c r="G327" s="33">
        <v>2000</v>
      </c>
      <c r="H327" s="33">
        <v>20440</v>
      </c>
      <c r="I327" s="15">
        <v>683</v>
      </c>
      <c r="J327" s="15">
        <f>Table1[[#This Row],[User_Invest_Amount_As_On_Date]]/Table1[[#This Row],[Company_Total_Investment_As_On_Date]]</f>
        <v>9.7847358121330719E-2</v>
      </c>
      <c r="K327" s="15">
        <f>Table1[[#This Row],[Total_Profit]]*Table1[[#This Row],[Profit_%]]</f>
        <v>66.829745596868875</v>
      </c>
      <c r="L327" s="33" t="s">
        <v>39</v>
      </c>
      <c r="M327" s="33">
        <v>0.94</v>
      </c>
      <c r="N327" s="15">
        <f>Table1[[#This Row],[Profit_Without_Tax]]*Table1[[#This Row],[Tax_Deduction_%]]</f>
        <v>62.819960861056742</v>
      </c>
    </row>
    <row r="328" spans="1:14" x14ac:dyDescent="0.25">
      <c r="A328" s="28">
        <v>46027</v>
      </c>
      <c r="B328" s="33" t="s">
        <v>50</v>
      </c>
      <c r="C328" s="33" t="s">
        <v>51</v>
      </c>
      <c r="G328" s="33">
        <v>2000</v>
      </c>
      <c r="H328" s="33">
        <v>20440</v>
      </c>
      <c r="I328" s="15">
        <v>683</v>
      </c>
      <c r="J328" s="15">
        <f>Table1[[#This Row],[User_Invest_Amount_As_On_Date]]/Table1[[#This Row],[Company_Total_Investment_As_On_Date]]</f>
        <v>9.7847358121330719E-2</v>
      </c>
      <c r="K328" s="15">
        <f>Table1[[#This Row],[Total_Profit]]*Table1[[#This Row],[Profit_%]]</f>
        <v>66.829745596868875</v>
      </c>
      <c r="L328" s="33" t="s">
        <v>39</v>
      </c>
      <c r="M328" s="33">
        <v>0.94</v>
      </c>
      <c r="N328" s="15">
        <f>Table1[[#This Row],[Profit_Without_Tax]]*Table1[[#This Row],[Tax_Deduction_%]]</f>
        <v>62.819960861056742</v>
      </c>
    </row>
    <row r="329" spans="1:14" x14ac:dyDescent="0.25">
      <c r="A329" s="28">
        <v>46027</v>
      </c>
      <c r="B329" s="33" t="s">
        <v>59</v>
      </c>
      <c r="C329" s="33" t="s">
        <v>60</v>
      </c>
      <c r="G329" s="33">
        <v>1000</v>
      </c>
      <c r="H329" s="33">
        <v>20440</v>
      </c>
      <c r="I329" s="15">
        <v>683</v>
      </c>
      <c r="J329" s="15">
        <f>Table1[[#This Row],[User_Invest_Amount_As_On_Date]]/Table1[[#This Row],[Company_Total_Investment_As_On_Date]]</f>
        <v>4.8923679060665359E-2</v>
      </c>
      <c r="K329" s="15">
        <f>Table1[[#This Row],[Total_Profit]]*Table1[[#This Row],[Profit_%]]</f>
        <v>33.414872798434438</v>
      </c>
      <c r="L329" s="33" t="s">
        <v>39</v>
      </c>
      <c r="M329" s="33">
        <v>0.94</v>
      </c>
      <c r="N329" s="15">
        <f>Table1[[#This Row],[Profit_Without_Tax]]*Table1[[#This Row],[Tax_Deduction_%]]</f>
        <v>31.409980430528371</v>
      </c>
    </row>
    <row r="330" spans="1:14" x14ac:dyDescent="0.25">
      <c r="A330" s="28">
        <v>46027</v>
      </c>
      <c r="B330" s="33" t="s">
        <v>80</v>
      </c>
      <c r="C330" s="33" t="s">
        <v>82</v>
      </c>
      <c r="G330" s="33">
        <v>1000</v>
      </c>
      <c r="H330" s="33">
        <v>20440</v>
      </c>
      <c r="I330" s="15">
        <v>683</v>
      </c>
      <c r="J330" s="15">
        <f>Table1[[#This Row],[User_Invest_Amount_As_On_Date]]/Table1[[#This Row],[Company_Total_Investment_As_On_Date]]</f>
        <v>4.8923679060665359E-2</v>
      </c>
      <c r="K330" s="15">
        <f>Table1[[#This Row],[Total_Profit]]*Table1[[#This Row],[Profit_%]]</f>
        <v>33.414872798434438</v>
      </c>
      <c r="L330" s="33" t="s">
        <v>91</v>
      </c>
      <c r="M330" s="33">
        <v>0.94</v>
      </c>
      <c r="N330" s="15">
        <f>Table1[[#This Row],[Profit_Without_Tax]]*Table1[[#This Row],[Tax_Deduction_%]]</f>
        <v>31.409980430528371</v>
      </c>
    </row>
    <row r="331" spans="1:14" x14ac:dyDescent="0.25">
      <c r="I331" s="15"/>
      <c r="M331" s="33"/>
    </row>
    <row r="332" spans="1:14" x14ac:dyDescent="0.25">
      <c r="A332" s="28">
        <v>46028</v>
      </c>
      <c r="B332" s="33" t="s">
        <v>7</v>
      </c>
      <c r="C332" s="33" t="s">
        <v>8</v>
      </c>
      <c r="D332" s="14">
        <v>260</v>
      </c>
      <c r="E332" s="14" t="s">
        <v>119</v>
      </c>
      <c r="G332" s="33">
        <v>5000</v>
      </c>
      <c r="H332" s="33">
        <v>21200</v>
      </c>
      <c r="I332" s="15">
        <v>528</v>
      </c>
      <c r="J332" s="15">
        <f>Table1[[#This Row],[User_Invest_Amount_As_On_Date]]/Table1[[#This Row],[Company_Total_Investment_As_On_Date]]</f>
        <v>0.23584905660377359</v>
      </c>
      <c r="K332" s="15">
        <f>Table1[[#This Row],[Total_Profit]]*Table1[[#This Row],[Profit_%]]</f>
        <v>124.52830188679245</v>
      </c>
      <c r="L332" s="33" t="s">
        <v>78</v>
      </c>
      <c r="M332" s="33">
        <v>0.9</v>
      </c>
      <c r="N332" s="15">
        <f>Table1[[#This Row],[Profit_Without_Tax]]*Table1[[#This Row],[Tax_Deduction_%]]</f>
        <v>112.0754716981132</v>
      </c>
    </row>
    <row r="333" spans="1:14" x14ac:dyDescent="0.25">
      <c r="A333" s="28">
        <v>46028</v>
      </c>
      <c r="B333" s="33" t="s">
        <v>12</v>
      </c>
      <c r="C333" s="33" t="s">
        <v>13</v>
      </c>
      <c r="G333" s="33">
        <v>1700</v>
      </c>
      <c r="H333" s="33">
        <v>21200</v>
      </c>
      <c r="I333" s="15">
        <v>528</v>
      </c>
      <c r="J333" s="15">
        <f>Table1[[#This Row],[User_Invest_Amount_As_On_Date]]/Table1[[#This Row],[Company_Total_Investment_As_On_Date]]</f>
        <v>8.0188679245283015E-2</v>
      </c>
      <c r="K333" s="15">
        <f>Table1[[#This Row],[Total_Profit]]*Table1[[#This Row],[Profit_%]]</f>
        <v>42.339622641509429</v>
      </c>
      <c r="L333" s="33" t="s">
        <v>91</v>
      </c>
      <c r="M333" s="33">
        <v>0.75</v>
      </c>
      <c r="N333" s="15">
        <f>Table1[[#This Row],[Profit_Without_Tax]]*Table1[[#This Row],[Tax_Deduction_%]]</f>
        <v>31.75471698113207</v>
      </c>
    </row>
    <row r="334" spans="1:14" x14ac:dyDescent="0.25">
      <c r="A334" s="28">
        <v>46028</v>
      </c>
      <c r="B334" s="33" t="s">
        <v>14</v>
      </c>
      <c r="C334" s="33" t="s">
        <v>15</v>
      </c>
      <c r="G334" s="33">
        <v>1000</v>
      </c>
      <c r="H334" s="33">
        <v>21200</v>
      </c>
      <c r="I334" s="15">
        <v>528</v>
      </c>
      <c r="J334" s="15">
        <f>Table1[[#This Row],[User_Invest_Amount_As_On_Date]]/Table1[[#This Row],[Company_Total_Investment_As_On_Date]]</f>
        <v>4.716981132075472E-2</v>
      </c>
      <c r="K334" s="15">
        <f>Table1[[#This Row],[Total_Profit]]*Table1[[#This Row],[Profit_%]]</f>
        <v>24.905660377358494</v>
      </c>
      <c r="L334" s="33" t="s">
        <v>78</v>
      </c>
      <c r="M334" s="33">
        <v>0.9</v>
      </c>
      <c r="N334" s="15">
        <f>Table1[[#This Row],[Profit_Without_Tax]]*Table1[[#This Row],[Tax_Deduction_%]]</f>
        <v>22.415094339622645</v>
      </c>
    </row>
    <row r="335" spans="1:14" x14ac:dyDescent="0.25">
      <c r="A335" s="28">
        <v>46028</v>
      </c>
      <c r="B335" s="33" t="s">
        <v>17</v>
      </c>
      <c r="C335" s="33" t="s">
        <v>18</v>
      </c>
      <c r="G335" s="33">
        <v>6000</v>
      </c>
      <c r="H335" s="33">
        <v>21200</v>
      </c>
      <c r="I335" s="15">
        <v>528</v>
      </c>
      <c r="J335" s="15">
        <f>Table1[[#This Row],[User_Invest_Amount_As_On_Date]]/Table1[[#This Row],[Company_Total_Investment_As_On_Date]]</f>
        <v>0.28301886792452829</v>
      </c>
      <c r="K335" s="15">
        <f>Table1[[#This Row],[Total_Profit]]*Table1[[#This Row],[Profit_%]]</f>
        <v>149.43396226415095</v>
      </c>
      <c r="L335" s="33" t="s">
        <v>78</v>
      </c>
      <c r="M335" s="33">
        <v>0.9</v>
      </c>
      <c r="N335" s="15">
        <f>Table1[[#This Row],[Profit_Without_Tax]]*Table1[[#This Row],[Tax_Deduction_%]]</f>
        <v>134.49056603773585</v>
      </c>
    </row>
    <row r="336" spans="1:14" x14ac:dyDescent="0.25">
      <c r="A336" s="28">
        <v>46028</v>
      </c>
      <c r="B336" s="33" t="s">
        <v>19</v>
      </c>
      <c r="C336" s="33" t="s">
        <v>20</v>
      </c>
      <c r="G336" s="33">
        <v>1000</v>
      </c>
      <c r="H336" s="33">
        <v>21200</v>
      </c>
      <c r="I336" s="15">
        <v>528</v>
      </c>
      <c r="J336" s="15">
        <f>Table1[[#This Row],[User_Invest_Amount_As_On_Date]]/Table1[[#This Row],[Company_Total_Investment_As_On_Date]]</f>
        <v>4.716981132075472E-2</v>
      </c>
      <c r="K336" s="15">
        <f>Table1[[#This Row],[Total_Profit]]*Table1[[#This Row],[Profit_%]]</f>
        <v>24.905660377358494</v>
      </c>
      <c r="L336" s="33" t="s">
        <v>78</v>
      </c>
      <c r="M336" s="33">
        <v>0.9</v>
      </c>
      <c r="N336" s="15">
        <f>Table1[[#This Row],[Profit_Without_Tax]]*Table1[[#This Row],[Tax_Deduction_%]]</f>
        <v>22.415094339622645</v>
      </c>
    </row>
    <row r="337" spans="1:14" x14ac:dyDescent="0.25">
      <c r="A337" s="28">
        <v>46028</v>
      </c>
      <c r="B337" s="33" t="s">
        <v>21</v>
      </c>
      <c r="C337" s="33" t="s">
        <v>22</v>
      </c>
      <c r="G337" s="33">
        <v>2000</v>
      </c>
      <c r="H337" s="33">
        <v>21200</v>
      </c>
      <c r="I337" s="15">
        <v>528</v>
      </c>
      <c r="J337" s="15">
        <f>Table1[[#This Row],[User_Invest_Amount_As_On_Date]]/Table1[[#This Row],[Company_Total_Investment_As_On_Date]]</f>
        <v>9.4339622641509441E-2</v>
      </c>
      <c r="K337" s="15">
        <f>Table1[[#This Row],[Total_Profit]]*Table1[[#This Row],[Profit_%]]</f>
        <v>49.811320754716988</v>
      </c>
      <c r="L337" s="33" t="s">
        <v>78</v>
      </c>
      <c r="M337" s="33">
        <v>0.9</v>
      </c>
      <c r="N337" s="15">
        <f>Table1[[#This Row],[Profit_Without_Tax]]*Table1[[#This Row],[Tax_Deduction_%]]</f>
        <v>44.830188679245289</v>
      </c>
    </row>
    <row r="338" spans="1:14" x14ac:dyDescent="0.25">
      <c r="A338" s="28">
        <v>46028</v>
      </c>
      <c r="B338" s="33" t="s">
        <v>50</v>
      </c>
      <c r="C338" s="33" t="s">
        <v>51</v>
      </c>
      <c r="G338" s="33">
        <v>2000</v>
      </c>
      <c r="H338" s="33">
        <v>21200</v>
      </c>
      <c r="I338" s="15">
        <v>528</v>
      </c>
      <c r="J338" s="15">
        <f>Table1[[#This Row],[User_Invest_Amount_As_On_Date]]/Table1[[#This Row],[Company_Total_Investment_As_On_Date]]</f>
        <v>9.4339622641509441E-2</v>
      </c>
      <c r="K338" s="15">
        <f>Table1[[#This Row],[Total_Profit]]*Table1[[#This Row],[Profit_%]]</f>
        <v>49.811320754716988</v>
      </c>
      <c r="L338" s="33" t="s">
        <v>78</v>
      </c>
      <c r="M338" s="33">
        <v>0.9</v>
      </c>
      <c r="N338" s="15">
        <f>Table1[[#This Row],[Profit_Without_Tax]]*Table1[[#This Row],[Tax_Deduction_%]]</f>
        <v>44.830188679245289</v>
      </c>
    </row>
    <row r="339" spans="1:14" x14ac:dyDescent="0.25">
      <c r="A339" s="28">
        <v>46028</v>
      </c>
      <c r="B339" s="33" t="s">
        <v>59</v>
      </c>
      <c r="C339" s="33" t="s">
        <v>60</v>
      </c>
      <c r="G339" s="33">
        <v>1000</v>
      </c>
      <c r="H339" s="33">
        <v>21200</v>
      </c>
      <c r="I339" s="15">
        <v>528</v>
      </c>
      <c r="J339" s="15">
        <f>Table1[[#This Row],[User_Invest_Amount_As_On_Date]]/Table1[[#This Row],[Company_Total_Investment_As_On_Date]]</f>
        <v>4.716981132075472E-2</v>
      </c>
      <c r="K339" s="15">
        <f>Table1[[#This Row],[Total_Profit]]*Table1[[#This Row],[Profit_%]]</f>
        <v>24.905660377358494</v>
      </c>
      <c r="L339" s="33" t="s">
        <v>78</v>
      </c>
      <c r="M339" s="33">
        <v>0.9</v>
      </c>
      <c r="N339" s="15">
        <f>Table1[[#This Row],[Profit_Without_Tax]]*Table1[[#This Row],[Tax_Deduction_%]]</f>
        <v>22.415094339622645</v>
      </c>
    </row>
    <row r="340" spans="1:14" x14ac:dyDescent="0.25">
      <c r="A340" s="28">
        <v>46028</v>
      </c>
      <c r="B340" s="33" t="s">
        <v>80</v>
      </c>
      <c r="C340" s="33" t="s">
        <v>82</v>
      </c>
      <c r="G340" s="33">
        <v>1000</v>
      </c>
      <c r="H340" s="33">
        <v>21200</v>
      </c>
      <c r="I340" s="15">
        <v>528</v>
      </c>
      <c r="J340" s="15">
        <f>Table1[[#This Row],[User_Invest_Amount_As_On_Date]]/Table1[[#This Row],[Company_Total_Investment_As_On_Date]]</f>
        <v>4.716981132075472E-2</v>
      </c>
      <c r="K340" s="15">
        <f>Table1[[#This Row],[Total_Profit]]*Table1[[#This Row],[Profit_%]]</f>
        <v>24.905660377358494</v>
      </c>
      <c r="L340" s="33" t="s">
        <v>91</v>
      </c>
      <c r="M340" s="33">
        <v>0.9</v>
      </c>
      <c r="N340" s="15">
        <f>Table1[[#This Row],[Profit_Without_Tax]]*Table1[[#This Row],[Tax_Deduction_%]]</f>
        <v>22.415094339622645</v>
      </c>
    </row>
    <row r="341" spans="1:14" x14ac:dyDescent="0.25">
      <c r="A341" s="28">
        <v>46028</v>
      </c>
      <c r="B341" s="14" t="s">
        <v>110</v>
      </c>
      <c r="C341" s="14" t="s">
        <v>111</v>
      </c>
      <c r="D341" s="14">
        <v>500</v>
      </c>
      <c r="E341" s="14" t="s">
        <v>113</v>
      </c>
      <c r="G341" s="14">
        <v>500</v>
      </c>
      <c r="H341" s="33">
        <v>21200</v>
      </c>
      <c r="I341" s="15">
        <v>528</v>
      </c>
      <c r="J341" s="15">
        <f>Table1[[#This Row],[User_Invest_Amount_As_On_Date]]/Table1[[#This Row],[Company_Total_Investment_As_On_Date]]</f>
        <v>2.358490566037736E-2</v>
      </c>
      <c r="K341" s="15">
        <f>Table1[[#This Row],[Total_Profit]]*Table1[[#This Row],[Profit_%]]</f>
        <v>12.452830188679247</v>
      </c>
      <c r="L341" s="14" t="s">
        <v>78</v>
      </c>
      <c r="M341" s="33">
        <v>0.9</v>
      </c>
      <c r="N341" s="15">
        <f>Table1[[#This Row],[Profit_Without_Tax]]*Table1[[#This Row],[Tax_Deduction_%]]</f>
        <v>11.207547169811322</v>
      </c>
    </row>
    <row r="342" spans="1:14" x14ac:dyDescent="0.25">
      <c r="I342" s="15"/>
      <c r="M342" s="33"/>
    </row>
    <row r="343" spans="1:14" x14ac:dyDescent="0.25">
      <c r="A343" s="28">
        <v>46029</v>
      </c>
      <c r="B343" s="33" t="s">
        <v>7</v>
      </c>
      <c r="C343" s="33" t="s">
        <v>8</v>
      </c>
      <c r="G343" s="33">
        <v>5000</v>
      </c>
      <c r="H343" s="33">
        <v>21200</v>
      </c>
      <c r="I343" s="15">
        <v>582</v>
      </c>
      <c r="J343" s="15">
        <f>Table1[[#This Row],[User_Invest_Amount_As_On_Date]]/Table1[[#This Row],[Company_Total_Investment_As_On_Date]]</f>
        <v>0.23584905660377359</v>
      </c>
      <c r="K343" s="15">
        <f>Table1[[#This Row],[Total_Profit]]*Table1[[#This Row],[Profit_%]]</f>
        <v>137.26415094339623</v>
      </c>
      <c r="L343" s="33" t="s">
        <v>78</v>
      </c>
      <c r="M343" s="33">
        <v>0.9</v>
      </c>
      <c r="N343" s="15">
        <f>Table1[[#This Row],[Profit_Without_Tax]]*Table1[[#This Row],[Tax_Deduction_%]]</f>
        <v>123.53773584905662</v>
      </c>
    </row>
    <row r="344" spans="1:14" x14ac:dyDescent="0.25">
      <c r="A344" s="28">
        <v>46029</v>
      </c>
      <c r="B344" s="33" t="s">
        <v>12</v>
      </c>
      <c r="C344" s="33" t="s">
        <v>13</v>
      </c>
      <c r="G344" s="33">
        <v>1700</v>
      </c>
      <c r="H344" s="33">
        <v>21200</v>
      </c>
      <c r="I344" s="15">
        <v>582</v>
      </c>
      <c r="J344" s="15">
        <f>Table1[[#This Row],[User_Invest_Amount_As_On_Date]]/Table1[[#This Row],[Company_Total_Investment_As_On_Date]]</f>
        <v>8.0188679245283015E-2</v>
      </c>
      <c r="K344" s="15">
        <f>Table1[[#This Row],[Total_Profit]]*Table1[[#This Row],[Profit_%]]</f>
        <v>46.669811320754718</v>
      </c>
      <c r="L344" s="33" t="s">
        <v>91</v>
      </c>
      <c r="M344" s="33">
        <v>0.75</v>
      </c>
      <c r="N344" s="15">
        <f>Table1[[#This Row],[Profit_Without_Tax]]*Table1[[#This Row],[Tax_Deduction_%]]</f>
        <v>35.002358490566039</v>
      </c>
    </row>
    <row r="345" spans="1:14" x14ac:dyDescent="0.25">
      <c r="A345" s="28">
        <v>46029</v>
      </c>
      <c r="B345" s="33" t="s">
        <v>14</v>
      </c>
      <c r="C345" s="33" t="s">
        <v>15</v>
      </c>
      <c r="G345" s="33">
        <v>1000</v>
      </c>
      <c r="H345" s="33">
        <v>21200</v>
      </c>
      <c r="I345" s="15">
        <v>582</v>
      </c>
      <c r="J345" s="15">
        <f>Table1[[#This Row],[User_Invest_Amount_As_On_Date]]/Table1[[#This Row],[Company_Total_Investment_As_On_Date]]</f>
        <v>4.716981132075472E-2</v>
      </c>
      <c r="K345" s="15">
        <f>Table1[[#This Row],[Total_Profit]]*Table1[[#This Row],[Profit_%]]</f>
        <v>27.452830188679247</v>
      </c>
      <c r="L345" s="33" t="s">
        <v>78</v>
      </c>
      <c r="M345" s="33">
        <v>0.9</v>
      </c>
      <c r="N345" s="15">
        <f>Table1[[#This Row],[Profit_Without_Tax]]*Table1[[#This Row],[Tax_Deduction_%]]</f>
        <v>24.707547169811324</v>
      </c>
    </row>
    <row r="346" spans="1:14" x14ac:dyDescent="0.25">
      <c r="A346" s="28">
        <v>46029</v>
      </c>
      <c r="B346" s="33" t="s">
        <v>17</v>
      </c>
      <c r="C346" s="33" t="s">
        <v>18</v>
      </c>
      <c r="G346" s="33">
        <v>6000</v>
      </c>
      <c r="H346" s="33">
        <v>21200</v>
      </c>
      <c r="I346" s="15">
        <v>582</v>
      </c>
      <c r="J346" s="15">
        <f>Table1[[#This Row],[User_Invest_Amount_As_On_Date]]/Table1[[#This Row],[Company_Total_Investment_As_On_Date]]</f>
        <v>0.28301886792452829</v>
      </c>
      <c r="K346" s="15">
        <f>Table1[[#This Row],[Total_Profit]]*Table1[[#This Row],[Profit_%]]</f>
        <v>164.71698113207546</v>
      </c>
      <c r="L346" s="33" t="s">
        <v>78</v>
      </c>
      <c r="M346" s="33">
        <v>0.9</v>
      </c>
      <c r="N346" s="15">
        <f>Table1[[#This Row],[Profit_Without_Tax]]*Table1[[#This Row],[Tax_Deduction_%]]</f>
        <v>148.24528301886792</v>
      </c>
    </row>
    <row r="347" spans="1:14" x14ac:dyDescent="0.25">
      <c r="A347" s="28">
        <v>46029</v>
      </c>
      <c r="B347" s="33" t="s">
        <v>19</v>
      </c>
      <c r="C347" s="33" t="s">
        <v>20</v>
      </c>
      <c r="G347" s="33">
        <v>1000</v>
      </c>
      <c r="H347" s="33">
        <v>21200</v>
      </c>
      <c r="I347" s="15">
        <v>582</v>
      </c>
      <c r="J347" s="15">
        <f>Table1[[#This Row],[User_Invest_Amount_As_On_Date]]/Table1[[#This Row],[Company_Total_Investment_As_On_Date]]</f>
        <v>4.716981132075472E-2</v>
      </c>
      <c r="K347" s="15">
        <f>Table1[[#This Row],[Total_Profit]]*Table1[[#This Row],[Profit_%]]</f>
        <v>27.452830188679247</v>
      </c>
      <c r="L347" s="33" t="s">
        <v>78</v>
      </c>
      <c r="M347" s="33">
        <v>0.75</v>
      </c>
      <c r="N347" s="15">
        <f>Table1[[#This Row],[Profit_Without_Tax]]*Table1[[#This Row],[Tax_Deduction_%]]</f>
        <v>20.589622641509436</v>
      </c>
    </row>
    <row r="348" spans="1:14" x14ac:dyDescent="0.25">
      <c r="A348" s="28">
        <v>46029</v>
      </c>
      <c r="B348" s="33" t="s">
        <v>21</v>
      </c>
      <c r="C348" s="33" t="s">
        <v>22</v>
      </c>
      <c r="G348" s="33">
        <v>2000</v>
      </c>
      <c r="H348" s="33">
        <v>21200</v>
      </c>
      <c r="I348" s="15">
        <v>582</v>
      </c>
      <c r="J348" s="15">
        <f>Table1[[#This Row],[User_Invest_Amount_As_On_Date]]/Table1[[#This Row],[Company_Total_Investment_As_On_Date]]</f>
        <v>9.4339622641509441E-2</v>
      </c>
      <c r="K348" s="15">
        <f>Table1[[#This Row],[Total_Profit]]*Table1[[#This Row],[Profit_%]]</f>
        <v>54.905660377358494</v>
      </c>
      <c r="L348" s="33" t="s">
        <v>78</v>
      </c>
      <c r="M348" s="33">
        <v>0.75</v>
      </c>
      <c r="N348" s="15">
        <f>Table1[[#This Row],[Profit_Without_Tax]]*Table1[[#This Row],[Tax_Deduction_%]]</f>
        <v>41.179245283018872</v>
      </c>
    </row>
    <row r="349" spans="1:14" x14ac:dyDescent="0.25">
      <c r="A349" s="28">
        <v>46029</v>
      </c>
      <c r="B349" s="33" t="s">
        <v>50</v>
      </c>
      <c r="C349" s="33" t="s">
        <v>51</v>
      </c>
      <c r="G349" s="33">
        <v>2000</v>
      </c>
      <c r="H349" s="33">
        <v>21200</v>
      </c>
      <c r="I349" s="15">
        <v>582</v>
      </c>
      <c r="J349" s="15">
        <f>Table1[[#This Row],[User_Invest_Amount_As_On_Date]]/Table1[[#This Row],[Company_Total_Investment_As_On_Date]]</f>
        <v>9.4339622641509441E-2</v>
      </c>
      <c r="K349" s="15">
        <f>Table1[[#This Row],[Total_Profit]]*Table1[[#This Row],[Profit_%]]</f>
        <v>54.905660377358494</v>
      </c>
      <c r="L349" s="33" t="s">
        <v>78</v>
      </c>
      <c r="M349" s="33">
        <v>0.75</v>
      </c>
      <c r="N349" s="15">
        <f>Table1[[#This Row],[Profit_Without_Tax]]*Table1[[#This Row],[Tax_Deduction_%]]</f>
        <v>41.179245283018872</v>
      </c>
    </row>
    <row r="350" spans="1:14" x14ac:dyDescent="0.25">
      <c r="A350" s="28">
        <v>46029</v>
      </c>
      <c r="B350" s="33" t="s">
        <v>59</v>
      </c>
      <c r="C350" s="33" t="s">
        <v>60</v>
      </c>
      <c r="G350" s="33">
        <v>1000</v>
      </c>
      <c r="H350" s="33">
        <v>21200</v>
      </c>
      <c r="I350" s="15">
        <v>582</v>
      </c>
      <c r="J350" s="15">
        <f>Table1[[#This Row],[User_Invest_Amount_As_On_Date]]/Table1[[#This Row],[Company_Total_Investment_As_On_Date]]</f>
        <v>4.716981132075472E-2</v>
      </c>
      <c r="K350" s="15">
        <f>Table1[[#This Row],[Total_Profit]]*Table1[[#This Row],[Profit_%]]</f>
        <v>27.452830188679247</v>
      </c>
      <c r="L350" s="33" t="s">
        <v>78</v>
      </c>
      <c r="M350" s="33">
        <v>0.75</v>
      </c>
      <c r="N350" s="15">
        <f>Table1[[#This Row],[Profit_Without_Tax]]*Table1[[#This Row],[Tax_Deduction_%]]</f>
        <v>20.589622641509436</v>
      </c>
    </row>
    <row r="351" spans="1:14" x14ac:dyDescent="0.25">
      <c r="A351" s="28">
        <v>46029</v>
      </c>
      <c r="B351" s="33" t="s">
        <v>80</v>
      </c>
      <c r="C351" s="33" t="s">
        <v>82</v>
      </c>
      <c r="G351" s="33">
        <v>1000</v>
      </c>
      <c r="H351" s="33">
        <v>21200</v>
      </c>
      <c r="I351" s="15">
        <v>582</v>
      </c>
      <c r="J351" s="15">
        <f>Table1[[#This Row],[User_Invest_Amount_As_On_Date]]/Table1[[#This Row],[Company_Total_Investment_As_On_Date]]</f>
        <v>4.716981132075472E-2</v>
      </c>
      <c r="K351" s="15">
        <f>Table1[[#This Row],[Total_Profit]]*Table1[[#This Row],[Profit_%]]</f>
        <v>27.452830188679247</v>
      </c>
      <c r="L351" s="33" t="s">
        <v>91</v>
      </c>
      <c r="M351" s="33">
        <v>0.9</v>
      </c>
      <c r="N351" s="15">
        <f>Table1[[#This Row],[Profit_Without_Tax]]*Table1[[#This Row],[Tax_Deduction_%]]</f>
        <v>24.707547169811324</v>
      </c>
    </row>
    <row r="352" spans="1:14" x14ac:dyDescent="0.25">
      <c r="A352" s="28">
        <v>46029</v>
      </c>
      <c r="B352" s="33" t="s">
        <v>110</v>
      </c>
      <c r="C352" s="33" t="s">
        <v>111</v>
      </c>
      <c r="G352" s="33">
        <v>500</v>
      </c>
      <c r="H352" s="33">
        <v>21200</v>
      </c>
      <c r="I352" s="15">
        <v>582</v>
      </c>
      <c r="J352" s="15">
        <f>Table1[[#This Row],[User_Invest_Amount_As_On_Date]]/Table1[[#This Row],[Company_Total_Investment_As_On_Date]]</f>
        <v>2.358490566037736E-2</v>
      </c>
      <c r="K352" s="15">
        <f>Table1[[#This Row],[Total_Profit]]*Table1[[#This Row],[Profit_%]]</f>
        <v>13.726415094339623</v>
      </c>
      <c r="L352" s="33" t="s">
        <v>78</v>
      </c>
      <c r="M352" s="33">
        <v>0.9</v>
      </c>
      <c r="N352" s="15">
        <f>Table1[[#This Row],[Profit_Without_Tax]]*Table1[[#This Row],[Tax_Deduction_%]]</f>
        <v>12.353773584905662</v>
      </c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selection activeCell="G9" sqref="G9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32.140625" bestFit="1" customWidth="1"/>
    <col min="7" max="7" width="30.42578125" bestFit="1" customWidth="1"/>
  </cols>
  <sheetData>
    <row r="1" spans="1:7" ht="15.75" thickBot="1" x14ac:dyDescent="0.3">
      <c r="A1" s="4" t="s">
        <v>0</v>
      </c>
      <c r="B1" s="5" t="s">
        <v>71</v>
      </c>
      <c r="C1" s="30" t="s">
        <v>1</v>
      </c>
      <c r="D1" t="s">
        <v>75</v>
      </c>
      <c r="E1" s="3" t="s">
        <v>32</v>
      </c>
      <c r="F1" t="s">
        <v>37</v>
      </c>
      <c r="G1" t="s">
        <v>120</v>
      </c>
    </row>
    <row r="2" spans="1:7" ht="15.75" thickBot="1" x14ac:dyDescent="0.3">
      <c r="A2" t="s">
        <v>7</v>
      </c>
      <c r="B2" t="s">
        <v>8</v>
      </c>
      <c r="C2" t="s">
        <v>8</v>
      </c>
      <c r="D2">
        <v>5000</v>
      </c>
      <c r="E2" s="3">
        <f>SUMIFS(Daily_Report!E:E,Daily_Report!B:B,Table2[[#This Row],[UserID]])</f>
        <v>4186.5702837918598</v>
      </c>
      <c r="F2" s="35" t="s">
        <v>38</v>
      </c>
      <c r="G2">
        <f>Table2[[#This Row],[Total Profit Earned]]-Table2[[#This Row],[Total_Invested_Amount]]</f>
        <v>-813.42971620814023</v>
      </c>
    </row>
    <row r="3" spans="1:7" ht="15.75" thickBot="1" x14ac:dyDescent="0.3">
      <c r="A3" t="s">
        <v>12</v>
      </c>
      <c r="B3" t="s">
        <v>13</v>
      </c>
      <c r="C3" t="s">
        <v>72</v>
      </c>
      <c r="D3">
        <v>1700</v>
      </c>
      <c r="E3" s="3">
        <f>SUMIFS(Daily_Report!E:E,Daily_Report!B:B,Table2[[#This Row],[UserID]])</f>
        <v>2200.7768919478067</v>
      </c>
      <c r="F3" s="36" t="s">
        <v>42</v>
      </c>
      <c r="G3">
        <f>Table2[[#This Row],[Total Profit Earned]]-Table2[[#This Row],[Total_Invested_Amount]]</f>
        <v>500.77689194780669</v>
      </c>
    </row>
    <row r="4" spans="1:7" ht="15.75" thickBot="1" x14ac:dyDescent="0.3">
      <c r="A4" t="s">
        <v>14</v>
      </c>
      <c r="B4" t="s">
        <v>15</v>
      </c>
      <c r="C4" t="s">
        <v>73</v>
      </c>
      <c r="D4">
        <v>1000</v>
      </c>
      <c r="E4" s="3">
        <f>SUMIFS(Daily_Report!E:E,Daily_Report!B:B,Table2[[#This Row],[UserID]])</f>
        <v>897.33616412225354</v>
      </c>
      <c r="F4" s="37" t="s">
        <v>44</v>
      </c>
      <c r="G4">
        <f>Table2[[#This Row],[Total Profit Earned]]-Table2[[#This Row],[Total_Invested_Amount]]</f>
        <v>-102.66383587774646</v>
      </c>
    </row>
    <row r="5" spans="1:7" ht="15.75" thickBot="1" x14ac:dyDescent="0.3">
      <c r="A5" t="s">
        <v>17</v>
      </c>
      <c r="B5" t="s">
        <v>18</v>
      </c>
      <c r="C5" t="s">
        <v>74</v>
      </c>
      <c r="D5">
        <v>6000</v>
      </c>
      <c r="E5" s="3">
        <f>SUMIFS(Daily_Report!E:E,Daily_Report!B:B,Table2[[#This Row],[UserID]])</f>
        <v>2645.7734496470271</v>
      </c>
      <c r="F5" s="36" t="s">
        <v>41</v>
      </c>
      <c r="G5">
        <f>Table2[[#This Row],[Total Profit Earned]]-Table2[[#This Row],[Total_Invested_Amount]]</f>
        <v>-3354.2265503529729</v>
      </c>
    </row>
    <row r="6" spans="1:7" ht="15.75" thickBot="1" x14ac:dyDescent="0.3">
      <c r="A6" t="s">
        <v>19</v>
      </c>
      <c r="B6" t="s">
        <v>20</v>
      </c>
      <c r="C6" t="s">
        <v>76</v>
      </c>
      <c r="D6">
        <v>1000</v>
      </c>
      <c r="E6" s="3">
        <f>SUMIFS(Daily_Report!E:E,Daily_Report!B:B,Table2[[#This Row],[UserID]])</f>
        <v>1200.1876128133249</v>
      </c>
      <c r="F6" s="36" t="s">
        <v>40</v>
      </c>
      <c r="G6">
        <f>Table2[[#This Row],[Total Profit Earned]]-Table2[[#This Row],[Total_Invested_Amount]]</f>
        <v>200.1876128133249</v>
      </c>
    </row>
    <row r="7" spans="1:7" ht="15.75" thickBot="1" x14ac:dyDescent="0.3">
      <c r="A7" t="s">
        <v>21</v>
      </c>
      <c r="B7" t="s">
        <v>22</v>
      </c>
      <c r="C7" t="s">
        <v>77</v>
      </c>
      <c r="D7">
        <v>2000</v>
      </c>
      <c r="E7" s="3">
        <f>SUMIFS(Daily_Report!E:E,Daily_Report!B:B,Table2[[#This Row],[UserID]])</f>
        <v>2875.8085363457812</v>
      </c>
      <c r="F7" s="36" t="s">
        <v>43</v>
      </c>
      <c r="G7">
        <f>Table2[[#This Row],[Total Profit Earned]]-Table2[[#This Row],[Total_Invested_Amount]]</f>
        <v>875.80853634578125</v>
      </c>
    </row>
    <row r="8" spans="1:7" ht="15.75" thickBot="1" x14ac:dyDescent="0.3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2682.9055512711548</v>
      </c>
      <c r="F8" s="36" t="s">
        <v>58</v>
      </c>
      <c r="G8">
        <f>Table2[[#This Row],[Total Profit Earned]]-Table2[[#This Row],[Total_Invested_Amount]]</f>
        <v>682.90555127115476</v>
      </c>
    </row>
    <row r="9" spans="1:7" ht="15.75" thickBot="1" x14ac:dyDescent="0.3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1118.6527756355772</v>
      </c>
      <c r="F9" s="36" t="s">
        <v>64</v>
      </c>
      <c r="G9">
        <f>Table2[[#This Row],[Total Profit Earned]]-Table2[[#This Row],[Total_Invested_Amount]]</f>
        <v>118.6527756355772</v>
      </c>
    </row>
    <row r="10" spans="1:7" ht="15.75" thickBot="1" x14ac:dyDescent="0.3">
      <c r="A10" t="s">
        <v>80</v>
      </c>
      <c r="B10" t="s">
        <v>82</v>
      </c>
      <c r="C10" t="s">
        <v>81</v>
      </c>
      <c r="D10">
        <v>1000</v>
      </c>
      <c r="E10" s="3">
        <f>SUMIFS(Daily_Report!E:E,Daily_Report!B:B,Table2[[#This Row],[UserID]])</f>
        <v>314.90939480257379</v>
      </c>
      <c r="F10" s="36" t="s">
        <v>88</v>
      </c>
      <c r="G10">
        <f>Table2[[#This Row],[Total Profit Earned]]-Table2[[#This Row],[Total_Invested_Amount]]</f>
        <v>-685.09060519742616</v>
      </c>
    </row>
    <row r="11" spans="1:7" ht="15.75" thickBot="1" x14ac:dyDescent="0.3">
      <c r="A11" s="38" t="s">
        <v>110</v>
      </c>
      <c r="B11" s="38" t="s">
        <v>111</v>
      </c>
      <c r="C11" s="38" t="s">
        <v>112</v>
      </c>
      <c r="D11" s="38">
        <v>500</v>
      </c>
      <c r="E11" s="39">
        <f>SUMIFS(Daily_Report!E:E,Daily_Report!B:B,Table2[[#This Row],[UserID]])</f>
        <v>23.561320754716984</v>
      </c>
      <c r="F11" s="40" t="s">
        <v>114</v>
      </c>
      <c r="G11">
        <f>Table2[[#This Row],[Total Profit Earned]]-Table2[[#This Row],[Total_Invested_Amount]]</f>
        <v>-476.43867924528303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2"/>
  <sheetViews>
    <sheetView tabSelected="1" topLeftCell="A321" workbookViewId="0">
      <selection activeCell="G321" sqref="G321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9" width="69.5703125" style="14" bestFit="1" customWidth="1"/>
    <col min="10" max="16384" width="9.140625" style="14"/>
  </cols>
  <sheetData>
    <row r="1" spans="1:9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92</v>
      </c>
      <c r="I1" s="6" t="s">
        <v>115</v>
      </c>
    </row>
    <row r="2" spans="1:9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  <c r="I2" s="33"/>
    </row>
    <row r="3" spans="1:9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  <c r="I3" s="33"/>
    </row>
    <row r="4" spans="1:9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  <c r="I4" s="33"/>
    </row>
    <row r="5" spans="1:9" x14ac:dyDescent="0.25">
      <c r="D5" s="16"/>
      <c r="G5" s="15"/>
      <c r="I5" s="33"/>
    </row>
    <row r="6" spans="1:9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  <c r="I6" s="33"/>
    </row>
    <row r="7" spans="1:9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  <c r="I7" s="33"/>
    </row>
    <row r="8" spans="1:9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  <c r="I8" s="33"/>
    </row>
    <row r="9" spans="1:9" x14ac:dyDescent="0.25">
      <c r="D9" s="16"/>
      <c r="G9" s="15"/>
      <c r="I9" s="33"/>
    </row>
    <row r="10" spans="1:9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  <c r="I10" s="33"/>
    </row>
    <row r="11" spans="1:9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  <c r="I11" s="33"/>
    </row>
    <row r="12" spans="1:9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  <c r="I12" s="33"/>
    </row>
    <row r="13" spans="1:9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  <c r="I13" s="33"/>
    </row>
    <row r="14" spans="1:9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  <c r="I14" s="33"/>
    </row>
    <row r="15" spans="1:9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  <c r="I15" s="33"/>
    </row>
    <row r="16" spans="1:9" x14ac:dyDescent="0.25">
      <c r="D16" s="16"/>
      <c r="G16" s="15"/>
      <c r="I16" s="33"/>
    </row>
    <row r="17" spans="1:9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  <c r="I17" s="33"/>
    </row>
    <row r="18" spans="1:9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  <c r="I18" s="33"/>
    </row>
    <row r="19" spans="1:9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  <c r="I19" s="33"/>
    </row>
    <row r="20" spans="1:9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  <c r="I20" s="33"/>
    </row>
    <row r="21" spans="1:9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  <c r="I21" s="33"/>
    </row>
    <row r="22" spans="1:9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  <c r="I22" s="33"/>
    </row>
    <row r="23" spans="1:9" x14ac:dyDescent="0.25">
      <c r="D23" s="16"/>
      <c r="G23" s="15"/>
      <c r="I23" s="33"/>
    </row>
    <row r="24" spans="1:9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  <c r="I24" s="33"/>
    </row>
    <row r="25" spans="1:9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  <c r="I25" s="33"/>
    </row>
    <row r="26" spans="1:9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  <c r="I26" s="33"/>
    </row>
    <row r="27" spans="1:9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  <c r="I27" s="33"/>
    </row>
    <row r="28" spans="1:9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  <c r="I28" s="33"/>
    </row>
    <row r="29" spans="1:9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  <c r="I29" s="33"/>
    </row>
    <row r="30" spans="1:9" x14ac:dyDescent="0.25">
      <c r="D30" s="16"/>
      <c r="G30" s="15"/>
      <c r="I30" s="33"/>
    </row>
    <row r="31" spans="1:9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  <c r="I31" s="33"/>
    </row>
    <row r="32" spans="1:9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  <c r="I32" s="33"/>
    </row>
    <row r="33" spans="1:9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  <c r="I33" s="33"/>
    </row>
    <row r="34" spans="1:9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  <c r="I34" s="33"/>
    </row>
    <row r="35" spans="1:9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  <c r="I35" s="33"/>
    </row>
    <row r="36" spans="1:9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  <c r="I36" s="33"/>
    </row>
    <row r="37" spans="1:9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  <c r="I37" s="33"/>
    </row>
    <row r="38" spans="1:9" x14ac:dyDescent="0.25">
      <c r="D38" s="16"/>
      <c r="G38" s="15"/>
      <c r="I38" s="33"/>
    </row>
    <row r="39" spans="1:9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  <c r="I39" s="33"/>
    </row>
    <row r="40" spans="1:9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  <c r="I40" s="33"/>
    </row>
    <row r="41" spans="1:9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  <c r="I41" s="33"/>
    </row>
    <row r="42" spans="1:9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  <c r="I42" s="33"/>
    </row>
    <row r="43" spans="1:9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  <c r="I43" s="33"/>
    </row>
    <row r="44" spans="1:9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  <c r="I44" s="33"/>
    </row>
    <row r="45" spans="1:9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  <c r="I45" s="33"/>
    </row>
    <row r="46" spans="1:9" x14ac:dyDescent="0.25">
      <c r="D46" s="16"/>
      <c r="G46" s="15"/>
      <c r="I46" s="33"/>
    </row>
    <row r="47" spans="1:9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  <c r="I47" s="33"/>
    </row>
    <row r="48" spans="1:9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  <c r="I48" s="33"/>
    </row>
    <row r="49" spans="1:9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  <c r="I49" s="33"/>
    </row>
    <row r="50" spans="1:9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  <c r="I50" s="33"/>
    </row>
    <row r="51" spans="1:9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  <c r="I51" s="33"/>
    </row>
    <row r="52" spans="1:9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  <c r="I52" s="33"/>
    </row>
    <row r="53" spans="1:9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  <c r="I53" s="33"/>
    </row>
    <row r="54" spans="1:9" x14ac:dyDescent="0.25">
      <c r="D54" s="16"/>
      <c r="G54" s="15"/>
      <c r="I54" s="33"/>
    </row>
    <row r="55" spans="1:9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  <c r="I55" s="33"/>
    </row>
    <row r="56" spans="1:9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  <c r="I56" s="33"/>
    </row>
    <row r="57" spans="1:9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  <c r="I57" s="33"/>
    </row>
    <row r="58" spans="1:9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  <c r="I58" s="33"/>
    </row>
    <row r="59" spans="1:9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  <c r="I59" s="33"/>
    </row>
    <row r="60" spans="1:9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  <c r="I60" s="33"/>
    </row>
    <row r="61" spans="1:9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  <c r="I61" s="33"/>
    </row>
    <row r="62" spans="1:9" x14ac:dyDescent="0.25">
      <c r="D62" s="16"/>
      <c r="G62" s="15"/>
      <c r="I62" s="33"/>
    </row>
    <row r="63" spans="1:9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  <c r="I63" s="33"/>
    </row>
    <row r="64" spans="1:9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  <c r="I64" s="33"/>
    </row>
    <row r="65" spans="1:9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  <c r="I65" s="33"/>
    </row>
    <row r="66" spans="1:9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  <c r="I66" s="33"/>
    </row>
    <row r="67" spans="1:9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  <c r="I67" s="33"/>
    </row>
    <row r="68" spans="1:9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  <c r="I68" s="33"/>
    </row>
    <row r="69" spans="1:9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  <c r="I69" s="33"/>
    </row>
    <row r="70" spans="1:9" x14ac:dyDescent="0.25">
      <c r="D70" s="16"/>
      <c r="G70" s="15"/>
      <c r="I70" s="33"/>
    </row>
    <row r="71" spans="1:9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  <c r="I71" s="33"/>
    </row>
    <row r="72" spans="1:9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  <c r="I72" s="33"/>
    </row>
    <row r="73" spans="1:9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  <c r="I73" s="33"/>
    </row>
    <row r="74" spans="1:9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  <c r="I74" s="33"/>
    </row>
    <row r="75" spans="1:9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  <c r="I75" s="33"/>
    </row>
    <row r="76" spans="1:9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  <c r="I76" s="33"/>
    </row>
    <row r="77" spans="1:9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  <c r="I77" s="33"/>
    </row>
    <row r="78" spans="1:9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  <c r="I78" s="33"/>
    </row>
    <row r="79" spans="1:9" x14ac:dyDescent="0.25">
      <c r="D79" s="16"/>
      <c r="G79" s="15"/>
      <c r="I79" s="33"/>
    </row>
    <row r="80" spans="1:9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  <c r="I80" s="33"/>
    </row>
    <row r="81" spans="1:9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  <c r="I81" s="33"/>
    </row>
    <row r="82" spans="1:9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  <c r="I82" s="33"/>
    </row>
    <row r="83" spans="1:9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  <c r="I83" s="33"/>
    </row>
    <row r="84" spans="1:9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  <c r="I84" s="33"/>
    </row>
    <row r="85" spans="1:9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  <c r="I85" s="33"/>
    </row>
    <row r="86" spans="1:9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  <c r="I86" s="33"/>
    </row>
    <row r="87" spans="1:9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  <c r="I87" s="33"/>
    </row>
    <row r="88" spans="1:9" x14ac:dyDescent="0.25">
      <c r="D88" s="16"/>
      <c r="G88" s="15"/>
      <c r="I88" s="33"/>
    </row>
    <row r="89" spans="1:9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  <c r="I89" s="33"/>
    </row>
    <row r="90" spans="1:9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  <c r="I90" s="33"/>
    </row>
    <row r="91" spans="1:9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  <c r="I91" s="33"/>
    </row>
    <row r="92" spans="1:9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  <c r="I92" s="33"/>
    </row>
    <row r="93" spans="1:9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  <c r="I93" s="33"/>
    </row>
    <row r="94" spans="1:9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  <c r="I94" s="33"/>
    </row>
    <row r="95" spans="1:9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  <c r="I95" s="33"/>
    </row>
    <row r="96" spans="1:9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  <c r="I96" s="33"/>
    </row>
    <row r="97" spans="1:9" x14ac:dyDescent="0.25">
      <c r="D97" s="16"/>
      <c r="G97" s="15"/>
      <c r="I97" s="33"/>
    </row>
    <row r="98" spans="1:9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  <c r="I98" s="33"/>
    </row>
    <row r="99" spans="1:9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  <c r="I99" s="33"/>
    </row>
    <row r="100" spans="1:9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  <c r="I100" s="33"/>
    </row>
    <row r="101" spans="1:9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  <c r="I101" s="33"/>
    </row>
    <row r="102" spans="1:9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  <c r="I102" s="33"/>
    </row>
    <row r="103" spans="1:9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  <c r="I103" s="33"/>
    </row>
    <row r="104" spans="1:9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  <c r="I104" s="33"/>
    </row>
    <row r="105" spans="1:9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  <c r="I105" s="33"/>
    </row>
    <row r="106" spans="1:9" x14ac:dyDescent="0.25">
      <c r="D106" s="16"/>
      <c r="G106" s="15"/>
      <c r="I106" s="33"/>
    </row>
    <row r="107" spans="1:9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  <c r="I107" s="33"/>
    </row>
    <row r="108" spans="1:9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  <c r="I108" s="33"/>
    </row>
    <row r="109" spans="1:9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  <c r="I109" s="33"/>
    </row>
    <row r="110" spans="1:9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  <c r="I110" s="33"/>
    </row>
    <row r="111" spans="1:9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  <c r="I111" s="33"/>
    </row>
    <row r="112" spans="1:9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  <c r="I112" s="33"/>
    </row>
    <row r="113" spans="1:9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  <c r="I113" s="33"/>
    </row>
    <row r="114" spans="1:9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  <c r="I114" s="33"/>
    </row>
    <row r="115" spans="1:9" x14ac:dyDescent="0.25">
      <c r="D115" s="16"/>
      <c r="I115" s="33"/>
    </row>
    <row r="116" spans="1:9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  <c r="I116" s="33"/>
    </row>
    <row r="117" spans="1:9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  <c r="I117" s="33"/>
    </row>
    <row r="118" spans="1:9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  <c r="I118" s="33"/>
    </row>
    <row r="119" spans="1:9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  <c r="I119" s="33"/>
    </row>
    <row r="120" spans="1:9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  <c r="I120" s="33"/>
    </row>
    <row r="121" spans="1:9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  <c r="I121" s="33"/>
    </row>
    <row r="122" spans="1:9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  <c r="I122" s="33"/>
    </row>
    <row r="123" spans="1:9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  <c r="I123" s="33"/>
    </row>
    <row r="124" spans="1:9" x14ac:dyDescent="0.25">
      <c r="D124" s="16"/>
      <c r="G124" s="15"/>
      <c r="I124" s="33"/>
    </row>
    <row r="125" spans="1:9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  <c r="I125" s="33"/>
    </row>
    <row r="126" spans="1:9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  <c r="I126" s="33"/>
    </row>
    <row r="127" spans="1:9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  <c r="I127" s="33"/>
    </row>
    <row r="128" spans="1:9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  <c r="I128" s="33"/>
    </row>
    <row r="129" spans="1:9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  <c r="I129" s="33"/>
    </row>
    <row r="130" spans="1:9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  <c r="I130" s="33"/>
    </row>
    <row r="131" spans="1:9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  <c r="I131" s="33"/>
    </row>
    <row r="132" spans="1:9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  <c r="I132" s="33"/>
    </row>
    <row r="133" spans="1:9" x14ac:dyDescent="0.25">
      <c r="D133" s="16"/>
      <c r="G133" s="15"/>
      <c r="I133" s="33"/>
    </row>
    <row r="134" spans="1:9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  <c r="I134" s="33"/>
    </row>
    <row r="135" spans="1:9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  <c r="I135" s="33"/>
    </row>
    <row r="136" spans="1:9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  <c r="I136" s="33"/>
    </row>
    <row r="137" spans="1:9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  <c r="I137" s="33"/>
    </row>
    <row r="138" spans="1:9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  <c r="I138" s="33"/>
    </row>
    <row r="139" spans="1:9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  <c r="I139" s="33"/>
    </row>
    <row r="140" spans="1:9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  <c r="I140" s="33"/>
    </row>
    <row r="141" spans="1:9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  <c r="I141" s="33"/>
    </row>
    <row r="142" spans="1:9" x14ac:dyDescent="0.25">
      <c r="D142" s="16"/>
      <c r="G142" s="15"/>
      <c r="I142" s="33"/>
    </row>
    <row r="143" spans="1:9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  <c r="I143" s="33"/>
    </row>
    <row r="144" spans="1:9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  <c r="I144" s="33"/>
    </row>
    <row r="145" spans="1:9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  <c r="I145" s="33"/>
    </row>
    <row r="146" spans="1:9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  <c r="I146" s="33"/>
    </row>
    <row r="147" spans="1:9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  <c r="I147" s="33"/>
    </row>
    <row r="148" spans="1:9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  <c r="I148" s="33"/>
    </row>
    <row r="149" spans="1:9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  <c r="I149" s="33"/>
    </row>
    <row r="150" spans="1:9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  <c r="I150" s="33"/>
    </row>
    <row r="151" spans="1:9" x14ac:dyDescent="0.25">
      <c r="D151" s="16"/>
      <c r="G151" s="15"/>
      <c r="I151" s="33"/>
    </row>
    <row r="152" spans="1:9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  <c r="I152" s="33"/>
    </row>
    <row r="153" spans="1:9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  <c r="I153" s="33"/>
    </row>
    <row r="154" spans="1:9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  <c r="I154" s="33"/>
    </row>
    <row r="155" spans="1:9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  <c r="I155" s="33"/>
    </row>
    <row r="156" spans="1:9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  <c r="I156" s="33"/>
    </row>
    <row r="157" spans="1:9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  <c r="I157" s="33"/>
    </row>
    <row r="158" spans="1:9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  <c r="I158" s="33"/>
    </row>
    <row r="159" spans="1:9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  <c r="I159" s="33"/>
    </row>
    <row r="160" spans="1:9" x14ac:dyDescent="0.25">
      <c r="D160" s="16"/>
      <c r="G160" s="15"/>
      <c r="I160" s="33"/>
    </row>
    <row r="161" spans="1:9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  <c r="I161" s="33"/>
    </row>
    <row r="162" spans="1:9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  <c r="I162" s="33"/>
    </row>
    <row r="163" spans="1:9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  <c r="I163" s="33"/>
    </row>
    <row r="164" spans="1:9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  <c r="I164" s="33"/>
    </row>
    <row r="165" spans="1:9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  <c r="I165" s="33"/>
    </row>
    <row r="166" spans="1:9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  <c r="I166" s="33"/>
    </row>
    <row r="167" spans="1:9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  <c r="I167" s="33"/>
    </row>
    <row r="168" spans="1:9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  <c r="I168" s="33"/>
    </row>
    <row r="169" spans="1:9" x14ac:dyDescent="0.25">
      <c r="D169" s="16"/>
      <c r="G169" s="15"/>
      <c r="I169" s="33"/>
    </row>
    <row r="170" spans="1:9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  <c r="I170" s="33"/>
    </row>
    <row r="171" spans="1:9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  <c r="I171" s="33"/>
    </row>
    <row r="172" spans="1:9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  <c r="I172" s="33"/>
    </row>
    <row r="173" spans="1:9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  <c r="I173" s="33"/>
    </row>
    <row r="174" spans="1:9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  <c r="I174" s="33"/>
    </row>
    <row r="175" spans="1:9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  <c r="I175" s="33"/>
    </row>
    <row r="176" spans="1:9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  <c r="I176" s="33"/>
    </row>
    <row r="177" spans="1:9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  <c r="I177" s="33"/>
    </row>
    <row r="178" spans="1:9" x14ac:dyDescent="0.25">
      <c r="D178" s="16"/>
      <c r="G178" s="15"/>
      <c r="I178" s="33"/>
    </row>
    <row r="179" spans="1:9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  <c r="I179" s="33"/>
    </row>
    <row r="180" spans="1:9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  <c r="I180" s="33"/>
    </row>
    <row r="181" spans="1:9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  <c r="I181" s="33"/>
    </row>
    <row r="182" spans="1:9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  <c r="I182" s="33"/>
    </row>
    <row r="183" spans="1:9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  <c r="I183" s="33"/>
    </row>
    <row r="184" spans="1:9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  <c r="I184" s="33"/>
    </row>
    <row r="185" spans="1:9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  <c r="I185" s="33"/>
    </row>
    <row r="186" spans="1:9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  <c r="I186" s="33"/>
    </row>
    <row r="187" spans="1:9" x14ac:dyDescent="0.25">
      <c r="D187" s="16"/>
      <c r="G187" s="15"/>
      <c r="I187" s="33"/>
    </row>
    <row r="188" spans="1:9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  <c r="I188" s="33"/>
    </row>
    <row r="189" spans="1:9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  <c r="I189" s="33"/>
    </row>
    <row r="190" spans="1:9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  <c r="I190" s="33"/>
    </row>
    <row r="191" spans="1:9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  <c r="I191" s="33"/>
    </row>
    <row r="192" spans="1:9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  <c r="I192" s="33"/>
    </row>
    <row r="193" spans="1:9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  <c r="I193" s="33"/>
    </row>
    <row r="194" spans="1:9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  <c r="I194" s="33"/>
    </row>
    <row r="195" spans="1:9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  <c r="I195" s="33"/>
    </row>
    <row r="196" spans="1:9" x14ac:dyDescent="0.25">
      <c r="D196" s="16"/>
      <c r="G196" s="15"/>
      <c r="I196" s="33"/>
    </row>
    <row r="197" spans="1:9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  <c r="I197" s="33"/>
    </row>
    <row r="198" spans="1:9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  <c r="I198" s="33"/>
    </row>
    <row r="199" spans="1:9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  <c r="I199" s="33"/>
    </row>
    <row r="200" spans="1:9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  <c r="I200" s="33"/>
    </row>
    <row r="201" spans="1:9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  <c r="I201" s="33"/>
    </row>
    <row r="202" spans="1:9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  <c r="I202" s="33"/>
    </row>
    <row r="203" spans="1:9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  <c r="I203" s="33"/>
    </row>
    <row r="204" spans="1:9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  <c r="I204" s="33"/>
    </row>
    <row r="205" spans="1:9" x14ac:dyDescent="0.25">
      <c r="D205" s="16"/>
      <c r="G205" s="15"/>
      <c r="I205" s="33"/>
    </row>
    <row r="206" spans="1:9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  <c r="I206" s="33"/>
    </row>
    <row r="207" spans="1:9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  <c r="I207" s="33"/>
    </row>
    <row r="208" spans="1:9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  <c r="I208" s="33"/>
    </row>
    <row r="209" spans="1:9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  <c r="I209" s="33"/>
    </row>
    <row r="210" spans="1:9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  <c r="I210" s="33"/>
    </row>
    <row r="211" spans="1:9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  <c r="I211" s="33"/>
    </row>
    <row r="212" spans="1:9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  <c r="I212" s="33"/>
    </row>
    <row r="213" spans="1:9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  <c r="I213" s="33"/>
    </row>
    <row r="214" spans="1:9" x14ac:dyDescent="0.25">
      <c r="D214" s="16"/>
      <c r="G214" s="15"/>
      <c r="I214" s="33"/>
    </row>
    <row r="215" spans="1:9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  <c r="I215" s="33"/>
    </row>
    <row r="216" spans="1:9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  <c r="I216" s="33"/>
    </row>
    <row r="217" spans="1:9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  <c r="I217" s="33"/>
    </row>
    <row r="218" spans="1:9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  <c r="I218" s="33"/>
    </row>
    <row r="219" spans="1:9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  <c r="I219" s="33"/>
    </row>
    <row r="220" spans="1:9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  <c r="I220" s="33"/>
    </row>
    <row r="221" spans="1:9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  <c r="I221" s="33"/>
    </row>
    <row r="222" spans="1:9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  <c r="I222" s="33"/>
    </row>
    <row r="223" spans="1:9" x14ac:dyDescent="0.25">
      <c r="D223" s="16"/>
      <c r="G223" s="15"/>
      <c r="I223" s="33"/>
    </row>
    <row r="224" spans="1:9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  <c r="I224" s="33"/>
    </row>
    <row r="225" spans="1:9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  <c r="I225" s="33"/>
    </row>
    <row r="226" spans="1:9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  <c r="I226" s="33"/>
    </row>
    <row r="227" spans="1:9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  <c r="I227" s="33"/>
    </row>
    <row r="228" spans="1:9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  <c r="I228" s="33"/>
    </row>
    <row r="229" spans="1:9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  <c r="I229" s="33"/>
    </row>
    <row r="230" spans="1:9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  <c r="I230" s="33"/>
    </row>
    <row r="231" spans="1:9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  <c r="I231" s="33"/>
    </row>
    <row r="232" spans="1:9" x14ac:dyDescent="0.25">
      <c r="D232" s="16"/>
      <c r="G232" s="15"/>
      <c r="I232" s="33"/>
    </row>
    <row r="233" spans="1:9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  <c r="I233" s="33"/>
    </row>
    <row r="234" spans="1:9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  <c r="I234" s="33"/>
    </row>
    <row r="235" spans="1:9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  <c r="I235" s="33"/>
    </row>
    <row r="236" spans="1:9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  <c r="I236" s="33"/>
    </row>
    <row r="237" spans="1:9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  <c r="I237" s="33"/>
    </row>
    <row r="238" spans="1:9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  <c r="I238" s="33"/>
    </row>
    <row r="239" spans="1:9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  <c r="I239" s="33"/>
    </row>
    <row r="240" spans="1:9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  <c r="I240" s="33"/>
    </row>
    <row r="241" spans="1:9" x14ac:dyDescent="0.25">
      <c r="D241" s="16"/>
      <c r="G241" s="15"/>
      <c r="I241" s="33"/>
    </row>
    <row r="242" spans="1:9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  <c r="I242" s="33"/>
    </row>
    <row r="243" spans="1:9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  <c r="I243" s="33"/>
    </row>
    <row r="244" spans="1:9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  <c r="I244" s="33"/>
    </row>
    <row r="245" spans="1:9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  <c r="I245" s="33"/>
    </row>
    <row r="246" spans="1:9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  <c r="I246" s="33"/>
    </row>
    <row r="247" spans="1:9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  <c r="I247" s="33"/>
    </row>
    <row r="248" spans="1:9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  <c r="I248" s="33"/>
    </row>
    <row r="249" spans="1:9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  <c r="I249" s="33"/>
    </row>
    <row r="250" spans="1:9" x14ac:dyDescent="0.25">
      <c r="D250" s="16"/>
      <c r="G250" s="15"/>
      <c r="I250" s="33"/>
    </row>
    <row r="251" spans="1:9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  <c r="I251" s="33"/>
    </row>
    <row r="252" spans="1:9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  <c r="I252" s="33"/>
    </row>
    <row r="253" spans="1:9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  <c r="I253" s="33"/>
    </row>
    <row r="254" spans="1:9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  <c r="I254" s="33"/>
    </row>
    <row r="255" spans="1:9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  <c r="I255" s="33"/>
    </row>
    <row r="256" spans="1:9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  <c r="I256" s="33"/>
    </row>
    <row r="257" spans="1:9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  <c r="I257" s="33"/>
    </row>
    <row r="258" spans="1:9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  <c r="I258" s="33"/>
    </row>
    <row r="259" spans="1:9" x14ac:dyDescent="0.25">
      <c r="D259" s="16"/>
      <c r="G259" s="15"/>
      <c r="I259" s="33"/>
    </row>
    <row r="260" spans="1:9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  <c r="I260" s="33"/>
    </row>
    <row r="261" spans="1:9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  <c r="I261" s="33"/>
    </row>
    <row r="262" spans="1:9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  <c r="I262" s="33"/>
    </row>
    <row r="263" spans="1:9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  <c r="I263" s="33"/>
    </row>
    <row r="264" spans="1:9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  <c r="I264" s="33"/>
    </row>
    <row r="265" spans="1:9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  <c r="I265" s="33"/>
    </row>
    <row r="266" spans="1:9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  <c r="I266" s="33"/>
    </row>
    <row r="267" spans="1:9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  <c r="I267" s="33"/>
    </row>
    <row r="268" spans="1:9" x14ac:dyDescent="0.25">
      <c r="A268" s="28">
        <v>46022</v>
      </c>
      <c r="B268" s="14" t="s">
        <v>80</v>
      </c>
      <c r="C268" s="14">
        <v>1000</v>
      </c>
      <c r="D268" s="16">
        <v>14500</v>
      </c>
      <c r="E268" s="15">
        <v>57.048275862068962</v>
      </c>
      <c r="F268" s="14" t="s">
        <v>91</v>
      </c>
      <c r="G268" s="15">
        <v>880</v>
      </c>
      <c r="H268" s="14" t="s">
        <v>93</v>
      </c>
      <c r="I268" s="33" t="s">
        <v>116</v>
      </c>
    </row>
    <row r="269" spans="1:9" x14ac:dyDescent="0.25">
      <c r="D269" s="16"/>
      <c r="G269" s="15"/>
      <c r="I269" s="33"/>
    </row>
    <row r="270" spans="1:9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  <c r="I270" s="33"/>
    </row>
    <row r="271" spans="1:9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  <c r="I271" s="33"/>
    </row>
    <row r="272" spans="1:9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  <c r="I272" s="33"/>
    </row>
    <row r="273" spans="1:9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  <c r="I273" s="33"/>
    </row>
    <row r="274" spans="1:9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  <c r="I274" s="33"/>
    </row>
    <row r="275" spans="1:9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  <c r="I275" s="33"/>
    </row>
    <row r="276" spans="1:9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  <c r="I276" s="33"/>
    </row>
    <row r="277" spans="1:9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  <c r="I277" s="33"/>
    </row>
    <row r="278" spans="1:9" x14ac:dyDescent="0.25">
      <c r="A278" s="28">
        <v>46023</v>
      </c>
      <c r="B278" s="14" t="s">
        <v>80</v>
      </c>
      <c r="C278" s="14">
        <v>1000</v>
      </c>
      <c r="D278" s="16">
        <v>14800</v>
      </c>
      <c r="E278" s="15">
        <v>49.985135135135131</v>
      </c>
      <c r="F278" s="33" t="s">
        <v>91</v>
      </c>
      <c r="G278" s="15">
        <v>787</v>
      </c>
      <c r="H278" s="14" t="s">
        <v>93</v>
      </c>
      <c r="I278" s="33" t="s">
        <v>116</v>
      </c>
    </row>
    <row r="279" spans="1:9" x14ac:dyDescent="0.25">
      <c r="D279" s="16"/>
      <c r="G279" s="15"/>
      <c r="I279" s="33"/>
    </row>
    <row r="280" spans="1:9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  <c r="I280" s="33"/>
    </row>
    <row r="281" spans="1:9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  <c r="I281" s="33"/>
    </row>
    <row r="282" spans="1:9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  <c r="I282" s="33"/>
    </row>
    <row r="283" spans="1:9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  <c r="I283" s="33"/>
    </row>
    <row r="284" spans="1:9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  <c r="I284" s="33"/>
    </row>
    <row r="285" spans="1:9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  <c r="I285" s="33"/>
    </row>
    <row r="286" spans="1:9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  <c r="I286" s="33"/>
    </row>
    <row r="287" spans="1:9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  <c r="I287" s="33"/>
    </row>
    <row r="288" spans="1:9" x14ac:dyDescent="0.25">
      <c r="A288" s="28">
        <v>46024</v>
      </c>
      <c r="B288" s="14" t="s">
        <v>80</v>
      </c>
      <c r="C288" s="14">
        <v>1000</v>
      </c>
      <c r="D288" s="14">
        <v>16000</v>
      </c>
      <c r="E288" s="15">
        <v>54.754999999999995</v>
      </c>
      <c r="F288" s="33" t="s">
        <v>91</v>
      </c>
      <c r="G288" s="15">
        <v>932</v>
      </c>
      <c r="H288" s="14" t="s">
        <v>93</v>
      </c>
      <c r="I288" s="33" t="s">
        <v>116</v>
      </c>
    </row>
    <row r="289" spans="1:9" x14ac:dyDescent="0.25">
      <c r="D289" s="16"/>
      <c r="G289" s="15"/>
      <c r="I289" s="33"/>
    </row>
    <row r="290" spans="1:9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  <c r="I290" s="33"/>
    </row>
    <row r="291" spans="1:9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  <c r="I291" s="33"/>
    </row>
    <row r="292" spans="1:9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  <c r="I292" s="33"/>
    </row>
    <row r="293" spans="1:9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  <c r="I293" s="33"/>
    </row>
    <row r="294" spans="1:9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  <c r="I294" s="33"/>
    </row>
    <row r="295" spans="1:9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  <c r="I295" s="33"/>
    </row>
    <row r="296" spans="1:9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  <c r="I296" s="33"/>
    </row>
    <row r="297" spans="1:9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  <c r="I297" s="33"/>
    </row>
    <row r="298" spans="1:9" x14ac:dyDescent="0.25">
      <c r="A298" s="28">
        <v>46025</v>
      </c>
      <c r="B298" s="33" t="s">
        <v>80</v>
      </c>
      <c r="C298" s="33">
        <v>1000</v>
      </c>
      <c r="D298" s="33">
        <v>16000</v>
      </c>
      <c r="E298" s="15">
        <v>46.177499999999995</v>
      </c>
      <c r="F298" s="33" t="s">
        <v>91</v>
      </c>
      <c r="G298" s="15">
        <v>786</v>
      </c>
      <c r="H298" s="33" t="s">
        <v>93</v>
      </c>
      <c r="I298" s="33" t="s">
        <v>116</v>
      </c>
    </row>
    <row r="299" spans="1:9" x14ac:dyDescent="0.25">
      <c r="D299" s="16"/>
      <c r="G299" s="15"/>
      <c r="I299" s="33"/>
    </row>
    <row r="300" spans="1:9" x14ac:dyDescent="0.25">
      <c r="A300" s="28">
        <v>46026</v>
      </c>
      <c r="B300" s="33" t="s">
        <v>7</v>
      </c>
      <c r="C300" s="33">
        <v>4740</v>
      </c>
      <c r="D300" s="33">
        <v>16940</v>
      </c>
      <c r="E300" s="15">
        <v>134.66748524203069</v>
      </c>
      <c r="F300" s="41" t="s">
        <v>39</v>
      </c>
      <c r="G300" s="15">
        <v>512</v>
      </c>
      <c r="I300" s="33"/>
    </row>
    <row r="301" spans="1:9" x14ac:dyDescent="0.25">
      <c r="A301" s="28">
        <v>46026</v>
      </c>
      <c r="B301" s="33" t="s">
        <v>12</v>
      </c>
      <c r="C301" s="33">
        <v>1700</v>
      </c>
      <c r="D301" s="33">
        <v>16940</v>
      </c>
      <c r="E301" s="15">
        <v>48.29846517119244</v>
      </c>
      <c r="F301" s="33" t="s">
        <v>91</v>
      </c>
      <c r="G301" s="15">
        <v>512</v>
      </c>
      <c r="H301" s="14" t="s">
        <v>109</v>
      </c>
      <c r="I301" s="33" t="s">
        <v>117</v>
      </c>
    </row>
    <row r="302" spans="1:9" x14ac:dyDescent="0.25">
      <c r="A302" s="28">
        <v>46026</v>
      </c>
      <c r="B302" s="33" t="s">
        <v>14</v>
      </c>
      <c r="C302" s="33">
        <v>1000</v>
      </c>
      <c r="D302" s="33">
        <v>16940</v>
      </c>
      <c r="E302" s="15">
        <v>28.41086186540732</v>
      </c>
      <c r="F302" s="41" t="s">
        <v>39</v>
      </c>
      <c r="G302" s="15">
        <v>512</v>
      </c>
      <c r="H302" s="33"/>
      <c r="I302" s="33" t="s">
        <v>118</v>
      </c>
    </row>
    <row r="303" spans="1:9" x14ac:dyDescent="0.25">
      <c r="A303" s="28">
        <v>46026</v>
      </c>
      <c r="B303" s="33" t="s">
        <v>17</v>
      </c>
      <c r="C303" s="33">
        <v>2500</v>
      </c>
      <c r="D303" s="33">
        <v>16940</v>
      </c>
      <c r="E303" s="15">
        <v>71.027154663518289</v>
      </c>
      <c r="F303" s="41" t="s">
        <v>39</v>
      </c>
      <c r="G303" s="15">
        <v>512</v>
      </c>
      <c r="I303" s="33" t="s">
        <v>118</v>
      </c>
    </row>
    <row r="304" spans="1:9" x14ac:dyDescent="0.25">
      <c r="A304" s="28">
        <v>46026</v>
      </c>
      <c r="B304" s="33" t="s">
        <v>19</v>
      </c>
      <c r="C304" s="33">
        <v>1000</v>
      </c>
      <c r="D304" s="33">
        <v>16940</v>
      </c>
      <c r="E304" s="15">
        <v>28.41086186540732</v>
      </c>
      <c r="F304" s="41" t="s">
        <v>39</v>
      </c>
      <c r="G304" s="15">
        <v>512</v>
      </c>
      <c r="I304" s="33" t="s">
        <v>118</v>
      </c>
    </row>
    <row r="305" spans="1:9" x14ac:dyDescent="0.25">
      <c r="A305" s="28">
        <v>46026</v>
      </c>
      <c r="B305" s="33" t="s">
        <v>21</v>
      </c>
      <c r="C305" s="33">
        <v>2000</v>
      </c>
      <c r="D305" s="33">
        <v>16940</v>
      </c>
      <c r="E305" s="15">
        <v>56.821723730814639</v>
      </c>
      <c r="F305" s="41" t="s">
        <v>39</v>
      </c>
      <c r="G305" s="15">
        <v>512</v>
      </c>
      <c r="I305" s="33" t="s">
        <v>118</v>
      </c>
    </row>
    <row r="306" spans="1:9" x14ac:dyDescent="0.25">
      <c r="A306" s="28">
        <v>46026</v>
      </c>
      <c r="B306" s="33" t="s">
        <v>50</v>
      </c>
      <c r="C306" s="33">
        <v>2000</v>
      </c>
      <c r="D306" s="33">
        <v>16940</v>
      </c>
      <c r="E306" s="15">
        <v>56.821723730814639</v>
      </c>
      <c r="F306" s="41" t="s">
        <v>39</v>
      </c>
      <c r="G306" s="15">
        <v>512</v>
      </c>
      <c r="I306" s="33" t="s">
        <v>118</v>
      </c>
    </row>
    <row r="307" spans="1:9" x14ac:dyDescent="0.25">
      <c r="A307" s="28">
        <v>46026</v>
      </c>
      <c r="B307" s="33" t="s">
        <v>59</v>
      </c>
      <c r="C307" s="33">
        <v>1000</v>
      </c>
      <c r="D307" s="33">
        <v>16940</v>
      </c>
      <c r="E307" s="15">
        <v>28.41086186540732</v>
      </c>
      <c r="F307" s="41" t="s">
        <v>39</v>
      </c>
      <c r="G307" s="15">
        <v>512</v>
      </c>
      <c r="I307" s="33" t="s">
        <v>118</v>
      </c>
    </row>
    <row r="308" spans="1:9" x14ac:dyDescent="0.25">
      <c r="A308" s="28">
        <v>46026</v>
      </c>
      <c r="B308" s="33" t="s">
        <v>80</v>
      </c>
      <c r="C308" s="33">
        <v>1000</v>
      </c>
      <c r="D308" s="33">
        <v>16940</v>
      </c>
      <c r="E308" s="15">
        <v>28.41086186540732</v>
      </c>
      <c r="F308" s="33" t="s">
        <v>91</v>
      </c>
      <c r="G308" s="15">
        <v>512</v>
      </c>
      <c r="H308" s="14" t="s">
        <v>93</v>
      </c>
      <c r="I308" s="33" t="s">
        <v>116</v>
      </c>
    </row>
    <row r="309" spans="1:9" x14ac:dyDescent="0.25">
      <c r="D309" s="16"/>
      <c r="G309" s="15"/>
      <c r="I309" s="33"/>
    </row>
    <row r="310" spans="1:9" x14ac:dyDescent="0.25">
      <c r="A310" s="28">
        <v>46027</v>
      </c>
      <c r="B310" s="33" t="s">
        <v>7</v>
      </c>
      <c r="C310" s="33">
        <v>4740</v>
      </c>
      <c r="D310" s="33">
        <v>20440</v>
      </c>
      <c r="E310" s="15">
        <v>148.88330724070448</v>
      </c>
      <c r="F310" s="14" t="s">
        <v>39</v>
      </c>
      <c r="G310" s="15">
        <v>683</v>
      </c>
      <c r="I310" s="33"/>
    </row>
    <row r="311" spans="1:9" x14ac:dyDescent="0.25">
      <c r="A311" s="28">
        <v>46027</v>
      </c>
      <c r="B311" s="33" t="s">
        <v>12</v>
      </c>
      <c r="C311" s="33">
        <v>1700</v>
      </c>
      <c r="D311" s="33">
        <v>20440</v>
      </c>
      <c r="E311" s="15">
        <v>53.396966731898232</v>
      </c>
      <c r="F311" s="33" t="s">
        <v>91</v>
      </c>
      <c r="G311" s="15">
        <v>683</v>
      </c>
      <c r="H311" s="14" t="s">
        <v>109</v>
      </c>
      <c r="I311" s="33" t="s">
        <v>117</v>
      </c>
    </row>
    <row r="312" spans="1:9" x14ac:dyDescent="0.25">
      <c r="A312" s="28">
        <v>46027</v>
      </c>
      <c r="B312" s="33" t="s">
        <v>14</v>
      </c>
      <c r="C312" s="33">
        <v>1000</v>
      </c>
      <c r="D312" s="33">
        <v>20440</v>
      </c>
      <c r="E312" s="15">
        <v>31.409980430528371</v>
      </c>
      <c r="F312" s="14" t="s">
        <v>39</v>
      </c>
      <c r="G312" s="15">
        <v>683</v>
      </c>
      <c r="I312" s="33"/>
    </row>
    <row r="313" spans="1:9" x14ac:dyDescent="0.25">
      <c r="A313" s="28">
        <v>46027</v>
      </c>
      <c r="B313" s="33" t="s">
        <v>17</v>
      </c>
      <c r="C313" s="33">
        <v>6000</v>
      </c>
      <c r="D313" s="33">
        <v>20440</v>
      </c>
      <c r="E313" s="15">
        <v>188.45988258317024</v>
      </c>
      <c r="F313" s="33" t="s">
        <v>39</v>
      </c>
      <c r="G313" s="15">
        <v>683</v>
      </c>
      <c r="I313" s="33"/>
    </row>
    <row r="314" spans="1:9" x14ac:dyDescent="0.25">
      <c r="A314" s="28">
        <v>46027</v>
      </c>
      <c r="B314" s="33" t="s">
        <v>19</v>
      </c>
      <c r="C314" s="33">
        <v>1000</v>
      </c>
      <c r="D314" s="33">
        <v>20440</v>
      </c>
      <c r="E314" s="15">
        <v>31.409980430528371</v>
      </c>
      <c r="F314" s="33" t="s">
        <v>39</v>
      </c>
      <c r="G314" s="15">
        <v>683</v>
      </c>
      <c r="I314" s="33"/>
    </row>
    <row r="315" spans="1:9" x14ac:dyDescent="0.25">
      <c r="A315" s="28">
        <v>46027</v>
      </c>
      <c r="B315" s="33" t="s">
        <v>21</v>
      </c>
      <c r="C315" s="33">
        <v>2000</v>
      </c>
      <c r="D315" s="33">
        <v>20440</v>
      </c>
      <c r="E315" s="15">
        <v>62.819960861056742</v>
      </c>
      <c r="F315" s="33" t="s">
        <v>39</v>
      </c>
      <c r="G315" s="15">
        <v>683</v>
      </c>
      <c r="I315" s="33"/>
    </row>
    <row r="316" spans="1:9" x14ac:dyDescent="0.25">
      <c r="A316" s="28">
        <v>46027</v>
      </c>
      <c r="B316" s="33" t="s">
        <v>50</v>
      </c>
      <c r="C316" s="33">
        <v>2000</v>
      </c>
      <c r="D316" s="33">
        <v>20440</v>
      </c>
      <c r="E316" s="15">
        <v>62.819960861056742</v>
      </c>
      <c r="F316" s="33" t="s">
        <v>39</v>
      </c>
      <c r="G316" s="15">
        <v>683</v>
      </c>
      <c r="I316" s="33"/>
    </row>
    <row r="317" spans="1:9" x14ac:dyDescent="0.25">
      <c r="A317" s="28">
        <v>46027</v>
      </c>
      <c r="B317" s="33" t="s">
        <v>59</v>
      </c>
      <c r="C317" s="33">
        <v>1000</v>
      </c>
      <c r="D317" s="33">
        <v>20440</v>
      </c>
      <c r="E317" s="15">
        <v>31.409980430528371</v>
      </c>
      <c r="F317" s="33" t="s">
        <v>39</v>
      </c>
      <c r="G317" s="15">
        <v>683</v>
      </c>
      <c r="I317" s="33"/>
    </row>
    <row r="318" spans="1:9" x14ac:dyDescent="0.25">
      <c r="A318" s="28">
        <v>46027</v>
      </c>
      <c r="B318" s="33" t="s">
        <v>80</v>
      </c>
      <c r="C318" s="33">
        <v>1000</v>
      </c>
      <c r="D318" s="33">
        <v>20440</v>
      </c>
      <c r="E318" s="15">
        <v>31.409980430528371</v>
      </c>
      <c r="F318" s="33" t="s">
        <v>91</v>
      </c>
      <c r="G318" s="15">
        <v>683</v>
      </c>
      <c r="H318" s="33" t="s">
        <v>93</v>
      </c>
      <c r="I318" s="33" t="s">
        <v>116</v>
      </c>
    </row>
    <row r="319" spans="1:9" x14ac:dyDescent="0.25">
      <c r="D319" s="16"/>
      <c r="G319" s="15"/>
      <c r="I319" s="33"/>
    </row>
    <row r="320" spans="1:9" x14ac:dyDescent="0.25">
      <c r="A320" s="28">
        <v>46028</v>
      </c>
      <c r="B320" s="33" t="s">
        <v>7</v>
      </c>
      <c r="C320" s="33">
        <v>5000</v>
      </c>
      <c r="D320" s="33">
        <v>21200</v>
      </c>
      <c r="E320" s="15">
        <v>112.0754716981132</v>
      </c>
      <c r="F320" s="33" t="s">
        <v>39</v>
      </c>
      <c r="G320" s="15">
        <v>528</v>
      </c>
      <c r="I320" s="33"/>
    </row>
    <row r="321" spans="1:9" x14ac:dyDescent="0.25">
      <c r="A321" s="28">
        <v>46028</v>
      </c>
      <c r="B321" s="33" t="s">
        <v>12</v>
      </c>
      <c r="C321" s="33">
        <v>1700</v>
      </c>
      <c r="D321" s="33">
        <v>21200</v>
      </c>
      <c r="E321" s="15">
        <v>38.10566037735849</v>
      </c>
      <c r="F321" s="33" t="s">
        <v>91</v>
      </c>
      <c r="G321" s="15">
        <v>528</v>
      </c>
      <c r="H321" s="33" t="s">
        <v>109</v>
      </c>
      <c r="I321" s="33" t="s">
        <v>117</v>
      </c>
    </row>
    <row r="322" spans="1:9" x14ac:dyDescent="0.25">
      <c r="A322" s="28">
        <v>46028</v>
      </c>
      <c r="B322" s="33" t="s">
        <v>14</v>
      </c>
      <c r="C322" s="33">
        <v>1000</v>
      </c>
      <c r="D322" s="33">
        <v>21200</v>
      </c>
      <c r="E322" s="15">
        <v>22.415094339622645</v>
      </c>
      <c r="F322" s="33" t="s">
        <v>39</v>
      </c>
      <c r="G322" s="15">
        <v>528</v>
      </c>
      <c r="I322" s="33"/>
    </row>
    <row r="323" spans="1:9" x14ac:dyDescent="0.25">
      <c r="A323" s="28">
        <v>46028</v>
      </c>
      <c r="B323" s="33" t="s">
        <v>17</v>
      </c>
      <c r="C323" s="33">
        <v>6000</v>
      </c>
      <c r="D323" s="33">
        <v>21200</v>
      </c>
      <c r="E323" s="15">
        <v>134.49056603773585</v>
      </c>
      <c r="F323" s="33" t="s">
        <v>39</v>
      </c>
      <c r="G323" s="15">
        <v>528</v>
      </c>
      <c r="I323" s="33"/>
    </row>
    <row r="324" spans="1:9" x14ac:dyDescent="0.25">
      <c r="A324" s="28">
        <v>46028</v>
      </c>
      <c r="B324" s="33" t="s">
        <v>19</v>
      </c>
      <c r="C324" s="33">
        <v>1000</v>
      </c>
      <c r="D324" s="33">
        <v>21200</v>
      </c>
      <c r="E324" s="15">
        <v>22.415094339622645</v>
      </c>
      <c r="F324" s="33" t="s">
        <v>39</v>
      </c>
      <c r="G324" s="15">
        <v>528</v>
      </c>
      <c r="I324" s="33"/>
    </row>
    <row r="325" spans="1:9" x14ac:dyDescent="0.25">
      <c r="A325" s="28">
        <v>46028</v>
      </c>
      <c r="B325" s="33" t="s">
        <v>21</v>
      </c>
      <c r="C325" s="33">
        <v>2000</v>
      </c>
      <c r="D325" s="33">
        <v>21200</v>
      </c>
      <c r="E325" s="15">
        <v>44.830188679245289</v>
      </c>
      <c r="F325" s="33" t="s">
        <v>39</v>
      </c>
      <c r="G325" s="15">
        <v>528</v>
      </c>
      <c r="I325" s="33"/>
    </row>
    <row r="326" spans="1:9" x14ac:dyDescent="0.25">
      <c r="A326" s="28">
        <v>46028</v>
      </c>
      <c r="B326" s="33" t="s">
        <v>50</v>
      </c>
      <c r="C326" s="33">
        <v>2000</v>
      </c>
      <c r="D326" s="33">
        <v>21200</v>
      </c>
      <c r="E326" s="15">
        <v>44.830188679245289</v>
      </c>
      <c r="F326" s="33" t="s">
        <v>39</v>
      </c>
      <c r="G326" s="15">
        <v>528</v>
      </c>
      <c r="I326" s="33"/>
    </row>
    <row r="327" spans="1:9" x14ac:dyDescent="0.25">
      <c r="A327" s="28">
        <v>46028</v>
      </c>
      <c r="B327" s="33" t="s">
        <v>59</v>
      </c>
      <c r="C327" s="33">
        <v>1000</v>
      </c>
      <c r="D327" s="33">
        <v>21200</v>
      </c>
      <c r="E327" s="15">
        <v>22.415094339622645</v>
      </c>
      <c r="F327" s="33" t="s">
        <v>39</v>
      </c>
      <c r="G327" s="15">
        <v>528</v>
      </c>
      <c r="I327" s="33"/>
    </row>
    <row r="328" spans="1:9" x14ac:dyDescent="0.25">
      <c r="A328" s="28">
        <v>46028</v>
      </c>
      <c r="B328" s="33" t="s">
        <v>80</v>
      </c>
      <c r="C328" s="33">
        <v>1000</v>
      </c>
      <c r="D328" s="33">
        <v>21200</v>
      </c>
      <c r="E328" s="15">
        <v>22.415094339622645</v>
      </c>
      <c r="F328" s="33" t="s">
        <v>91</v>
      </c>
      <c r="G328" s="15">
        <v>528</v>
      </c>
      <c r="H328" s="33" t="s">
        <v>93</v>
      </c>
      <c r="I328" s="33" t="s">
        <v>116</v>
      </c>
    </row>
    <row r="329" spans="1:9" x14ac:dyDescent="0.25">
      <c r="A329" s="28">
        <v>46028</v>
      </c>
      <c r="B329" s="33" t="s">
        <v>110</v>
      </c>
      <c r="C329" s="14">
        <v>500</v>
      </c>
      <c r="D329" s="33">
        <v>21200</v>
      </c>
      <c r="E329" s="15">
        <v>11.207547169811322</v>
      </c>
      <c r="F329" s="14" t="s">
        <v>39</v>
      </c>
      <c r="G329" s="15">
        <v>528</v>
      </c>
      <c r="I329" s="33"/>
    </row>
    <row r="330" spans="1:9" x14ac:dyDescent="0.25">
      <c r="D330" s="16"/>
      <c r="G330" s="15"/>
      <c r="I330" s="33"/>
    </row>
    <row r="331" spans="1:9" x14ac:dyDescent="0.25">
      <c r="A331" s="28">
        <v>46029</v>
      </c>
      <c r="B331" s="33" t="s">
        <v>7</v>
      </c>
      <c r="C331" s="33">
        <v>5000</v>
      </c>
      <c r="D331" s="33">
        <v>21200</v>
      </c>
      <c r="E331" s="15">
        <v>123.53773584905662</v>
      </c>
      <c r="F331" s="33" t="s">
        <v>39</v>
      </c>
      <c r="G331" s="15">
        <v>582</v>
      </c>
      <c r="I331" s="33"/>
    </row>
    <row r="332" spans="1:9" x14ac:dyDescent="0.25">
      <c r="A332" s="28">
        <v>46029</v>
      </c>
      <c r="B332" s="33" t="s">
        <v>12</v>
      </c>
      <c r="C332" s="33">
        <v>1700</v>
      </c>
      <c r="D332" s="33">
        <v>21200</v>
      </c>
      <c r="E332" s="15">
        <v>35.002358490566039</v>
      </c>
      <c r="F332" s="33" t="s">
        <v>91</v>
      </c>
      <c r="G332" s="15">
        <v>582</v>
      </c>
      <c r="H332" s="33" t="s">
        <v>109</v>
      </c>
      <c r="I332" s="33" t="s">
        <v>117</v>
      </c>
    </row>
    <row r="333" spans="1:9" x14ac:dyDescent="0.25">
      <c r="A333" s="28">
        <v>46029</v>
      </c>
      <c r="B333" s="33" t="s">
        <v>14</v>
      </c>
      <c r="C333" s="33">
        <v>1000</v>
      </c>
      <c r="D333" s="33">
        <v>21200</v>
      </c>
      <c r="E333" s="15">
        <v>24.707547169811324</v>
      </c>
      <c r="F333" s="33" t="s">
        <v>39</v>
      </c>
      <c r="G333" s="15">
        <v>582</v>
      </c>
      <c r="I333" s="33"/>
    </row>
    <row r="334" spans="1:9" x14ac:dyDescent="0.25">
      <c r="A334" s="28">
        <v>46029</v>
      </c>
      <c r="B334" s="33" t="s">
        <v>17</v>
      </c>
      <c r="C334" s="33">
        <v>6000</v>
      </c>
      <c r="D334" s="33">
        <v>21200</v>
      </c>
      <c r="E334" s="15">
        <v>148.24528301886792</v>
      </c>
      <c r="F334" s="33" t="s">
        <v>39</v>
      </c>
      <c r="G334" s="15">
        <v>582</v>
      </c>
      <c r="I334" s="33"/>
    </row>
    <row r="335" spans="1:9" x14ac:dyDescent="0.25">
      <c r="A335" s="28">
        <v>46029</v>
      </c>
      <c r="B335" s="33" t="s">
        <v>19</v>
      </c>
      <c r="C335" s="33">
        <v>1000</v>
      </c>
      <c r="D335" s="33">
        <v>21200</v>
      </c>
      <c r="E335" s="15">
        <v>20.589622641509436</v>
      </c>
      <c r="F335" s="33" t="s">
        <v>39</v>
      </c>
      <c r="G335" s="15">
        <v>582</v>
      </c>
      <c r="I335" s="33"/>
    </row>
    <row r="336" spans="1:9" x14ac:dyDescent="0.25">
      <c r="A336" s="28">
        <v>46029</v>
      </c>
      <c r="B336" s="33" t="s">
        <v>21</v>
      </c>
      <c r="C336" s="33">
        <v>2000</v>
      </c>
      <c r="D336" s="33">
        <v>21200</v>
      </c>
      <c r="E336" s="15">
        <v>41.179245283018872</v>
      </c>
      <c r="F336" s="33" t="s">
        <v>39</v>
      </c>
      <c r="G336" s="15">
        <v>582</v>
      </c>
      <c r="I336" s="33"/>
    </row>
    <row r="337" spans="1:9" x14ac:dyDescent="0.25">
      <c r="A337" s="28">
        <v>46029</v>
      </c>
      <c r="B337" s="33" t="s">
        <v>50</v>
      </c>
      <c r="C337" s="33">
        <v>2000</v>
      </c>
      <c r="D337" s="33">
        <v>21200</v>
      </c>
      <c r="E337" s="15">
        <v>41.179245283018872</v>
      </c>
      <c r="F337" s="33" t="s">
        <v>39</v>
      </c>
      <c r="G337" s="15">
        <v>582</v>
      </c>
      <c r="I337" s="33"/>
    </row>
    <row r="338" spans="1:9" x14ac:dyDescent="0.25">
      <c r="A338" s="28">
        <v>46029</v>
      </c>
      <c r="B338" s="33" t="s">
        <v>59</v>
      </c>
      <c r="C338" s="33">
        <v>1000</v>
      </c>
      <c r="D338" s="33">
        <v>21200</v>
      </c>
      <c r="E338" s="15">
        <v>20.589622641509436</v>
      </c>
      <c r="F338" s="33" t="s">
        <v>39</v>
      </c>
      <c r="G338" s="15">
        <v>582</v>
      </c>
      <c r="I338" s="33"/>
    </row>
    <row r="339" spans="1:9" x14ac:dyDescent="0.25">
      <c r="A339" s="28">
        <v>46029</v>
      </c>
      <c r="B339" s="33" t="s">
        <v>80</v>
      </c>
      <c r="C339" s="33">
        <v>1000</v>
      </c>
      <c r="D339" s="33">
        <v>21200</v>
      </c>
      <c r="E339" s="15">
        <v>24.707547169811324</v>
      </c>
      <c r="F339" s="33" t="s">
        <v>91</v>
      </c>
      <c r="G339" s="15">
        <v>582</v>
      </c>
      <c r="H339" s="33" t="s">
        <v>93</v>
      </c>
      <c r="I339" s="33" t="s">
        <v>116</v>
      </c>
    </row>
    <row r="340" spans="1:9" x14ac:dyDescent="0.25">
      <c r="A340" s="28">
        <v>46029</v>
      </c>
      <c r="B340" s="33" t="s">
        <v>110</v>
      </c>
      <c r="C340" s="33">
        <v>500</v>
      </c>
      <c r="D340" s="33">
        <v>21200</v>
      </c>
      <c r="E340" s="15">
        <v>12.353773584905662</v>
      </c>
      <c r="F340" s="33" t="s">
        <v>39</v>
      </c>
      <c r="G340" s="15">
        <v>582</v>
      </c>
      <c r="I340" s="33"/>
    </row>
    <row r="341" spans="1:9" x14ac:dyDescent="0.25">
      <c r="D341" s="16"/>
      <c r="G341" s="15"/>
      <c r="I341" s="33"/>
    </row>
    <row r="342" spans="1:9" x14ac:dyDescent="0.25">
      <c r="D342" s="16"/>
      <c r="G342" s="15"/>
      <c r="I342" s="33"/>
    </row>
    <row r="343" spans="1:9" x14ac:dyDescent="0.25">
      <c r="D343" s="16"/>
      <c r="G343" s="15"/>
      <c r="I343" s="33"/>
    </row>
    <row r="344" spans="1:9" x14ac:dyDescent="0.25">
      <c r="D344" s="16"/>
      <c r="G344" s="15"/>
      <c r="I344" s="33"/>
    </row>
    <row r="345" spans="1:9" x14ac:dyDescent="0.25">
      <c r="D345" s="16"/>
      <c r="G345" s="15"/>
      <c r="I345" s="33"/>
    </row>
    <row r="346" spans="1:9" x14ac:dyDescent="0.25">
      <c r="D346" s="16"/>
      <c r="G346" s="15"/>
      <c r="I346" s="33"/>
    </row>
    <row r="347" spans="1:9" x14ac:dyDescent="0.25">
      <c r="D347" s="16"/>
      <c r="G347" s="15"/>
      <c r="I347" s="33"/>
    </row>
    <row r="348" spans="1:9" x14ac:dyDescent="0.25">
      <c r="D348" s="16"/>
      <c r="G348" s="15"/>
      <c r="I348" s="33"/>
    </row>
    <row r="349" spans="1:9" x14ac:dyDescent="0.25">
      <c r="D349" s="16"/>
      <c r="G349" s="15"/>
      <c r="I349" s="33"/>
    </row>
    <row r="350" spans="1:9" x14ac:dyDescent="0.25">
      <c r="D350" s="16"/>
      <c r="G350" s="15"/>
      <c r="I350" s="33"/>
    </row>
    <row r="351" spans="1:9" x14ac:dyDescent="0.25">
      <c r="D351" s="16"/>
      <c r="G351" s="15"/>
      <c r="I351" s="33"/>
    </row>
    <row r="352" spans="1:9" x14ac:dyDescent="0.25">
      <c r="D352" s="16"/>
      <c r="G352" s="15"/>
      <c r="I352" s="33"/>
    </row>
    <row r="353" spans="4:9" x14ac:dyDescent="0.25">
      <c r="D353" s="16"/>
      <c r="G353" s="15"/>
      <c r="I353" s="33"/>
    </row>
    <row r="354" spans="4:9" x14ac:dyDescent="0.25">
      <c r="D354" s="16"/>
      <c r="G354" s="15"/>
      <c r="I354" s="33"/>
    </row>
    <row r="355" spans="4:9" x14ac:dyDescent="0.25">
      <c r="D355" s="16"/>
      <c r="G355" s="15"/>
      <c r="I355" s="33"/>
    </row>
    <row r="356" spans="4:9" x14ac:dyDescent="0.25">
      <c r="D356" s="16"/>
      <c r="G356" s="15"/>
      <c r="I356" s="33"/>
    </row>
    <row r="357" spans="4:9" x14ac:dyDescent="0.25">
      <c r="D357" s="16"/>
      <c r="G357" s="15"/>
      <c r="I357" s="33"/>
    </row>
    <row r="358" spans="4:9" x14ac:dyDescent="0.25">
      <c r="D358" s="16"/>
      <c r="G358" s="15"/>
      <c r="I358" s="33"/>
    </row>
    <row r="359" spans="4:9" x14ac:dyDescent="0.25">
      <c r="D359" s="16"/>
      <c r="G359" s="15"/>
      <c r="I359" s="33"/>
    </row>
    <row r="360" spans="4:9" x14ac:dyDescent="0.25">
      <c r="D360" s="16"/>
      <c r="G360" s="15"/>
      <c r="I360" s="33"/>
    </row>
    <row r="361" spans="4:9" x14ac:dyDescent="0.25">
      <c r="D361" s="16"/>
      <c r="G361" s="15"/>
      <c r="I361" s="33"/>
    </row>
    <row r="362" spans="4:9" x14ac:dyDescent="0.25">
      <c r="D362" s="16"/>
      <c r="G362" s="15"/>
      <c r="I362" s="33"/>
    </row>
    <row r="363" spans="4:9" x14ac:dyDescent="0.25">
      <c r="D363" s="16"/>
      <c r="G363" s="15"/>
      <c r="I363" s="33"/>
    </row>
    <row r="364" spans="4:9" x14ac:dyDescent="0.25">
      <c r="D364" s="16"/>
      <c r="G364" s="15"/>
      <c r="I364" s="33"/>
    </row>
    <row r="365" spans="4:9" x14ac:dyDescent="0.25">
      <c r="D365" s="16"/>
      <c r="G365" s="15"/>
      <c r="I365" s="33"/>
    </row>
    <row r="366" spans="4:9" x14ac:dyDescent="0.25">
      <c r="D366" s="16"/>
      <c r="G366" s="15"/>
      <c r="I366" s="33"/>
    </row>
    <row r="367" spans="4:9" x14ac:dyDescent="0.25">
      <c r="D367" s="16"/>
      <c r="G367" s="15"/>
      <c r="I367" s="33"/>
    </row>
    <row r="368" spans="4:9" x14ac:dyDescent="0.25">
      <c r="D368" s="16"/>
      <c r="G368" s="15"/>
      <c r="I368" s="33"/>
    </row>
    <row r="369" spans="4:9" x14ac:dyDescent="0.25">
      <c r="D369" s="16"/>
      <c r="G369" s="15"/>
      <c r="I369" s="33"/>
    </row>
    <row r="370" spans="4:9" x14ac:dyDescent="0.25">
      <c r="D370" s="16"/>
      <c r="G370" s="15"/>
      <c r="I370" s="33"/>
    </row>
    <row r="371" spans="4:9" x14ac:dyDescent="0.25">
      <c r="D371" s="16"/>
      <c r="G371" s="15"/>
      <c r="I371" s="33"/>
    </row>
    <row r="372" spans="4:9" x14ac:dyDescent="0.25">
      <c r="D372" s="16"/>
      <c r="G372" s="15"/>
      <c r="I372" s="33"/>
    </row>
    <row r="373" spans="4:9" x14ac:dyDescent="0.25">
      <c r="D373" s="16"/>
      <c r="G373" s="15"/>
      <c r="I373" s="33"/>
    </row>
    <row r="374" spans="4:9" x14ac:dyDescent="0.25">
      <c r="D374" s="16"/>
      <c r="G374" s="15"/>
      <c r="I374" s="33"/>
    </row>
    <row r="375" spans="4:9" x14ac:dyDescent="0.25">
      <c r="D375" s="16"/>
      <c r="G375" s="15"/>
      <c r="I375" s="33"/>
    </row>
    <row r="376" spans="4:9" x14ac:dyDescent="0.25">
      <c r="D376" s="16"/>
      <c r="G376" s="15"/>
      <c r="I376" s="33"/>
    </row>
    <row r="377" spans="4:9" x14ac:dyDescent="0.25">
      <c r="D377" s="16"/>
      <c r="G377" s="15"/>
      <c r="I377" s="33"/>
    </row>
    <row r="378" spans="4:9" x14ac:dyDescent="0.25">
      <c r="D378" s="16"/>
      <c r="G378" s="15"/>
      <c r="I378" s="33"/>
    </row>
    <row r="379" spans="4:9" x14ac:dyDescent="0.25">
      <c r="D379" s="16"/>
      <c r="G379" s="15"/>
      <c r="I379" s="33"/>
    </row>
    <row r="380" spans="4:9" x14ac:dyDescent="0.25">
      <c r="D380" s="16"/>
      <c r="G380" s="15"/>
      <c r="I380" s="33"/>
    </row>
    <row r="381" spans="4:9" x14ac:dyDescent="0.25">
      <c r="D381" s="16"/>
      <c r="G381" s="15"/>
      <c r="I381" s="33"/>
    </row>
    <row r="382" spans="4:9" x14ac:dyDescent="0.25">
      <c r="D382" s="16"/>
      <c r="G382" s="15"/>
      <c r="I382" s="33"/>
    </row>
    <row r="383" spans="4:9" x14ac:dyDescent="0.25">
      <c r="D383" s="16"/>
      <c r="G383" s="15"/>
      <c r="I383" s="33"/>
    </row>
    <row r="384" spans="4:9" x14ac:dyDescent="0.25">
      <c r="D384" s="16"/>
      <c r="G384" s="15"/>
      <c r="I384" s="33"/>
    </row>
    <row r="385" spans="4:9" x14ac:dyDescent="0.25">
      <c r="D385" s="16"/>
      <c r="G385" s="15"/>
      <c r="I385" s="33"/>
    </row>
    <row r="386" spans="4:9" x14ac:dyDescent="0.25">
      <c r="D386" s="16"/>
      <c r="G386" s="15"/>
      <c r="I386" s="33"/>
    </row>
    <row r="387" spans="4:9" x14ac:dyDescent="0.25">
      <c r="D387" s="16"/>
      <c r="G387" s="15"/>
      <c r="I387" s="33"/>
    </row>
    <row r="388" spans="4:9" x14ac:dyDescent="0.25">
      <c r="D388" s="16"/>
      <c r="G388" s="15"/>
      <c r="I388" s="33"/>
    </row>
    <row r="389" spans="4:9" x14ac:dyDescent="0.25">
      <c r="D389" s="16"/>
      <c r="G389" s="15"/>
      <c r="I389" s="33"/>
    </row>
    <row r="390" spans="4:9" x14ac:dyDescent="0.25">
      <c r="D390" s="16"/>
      <c r="G390" s="15"/>
      <c r="I390" s="33"/>
    </row>
    <row r="391" spans="4:9" x14ac:dyDescent="0.25">
      <c r="D391" s="16"/>
      <c r="G391" s="15"/>
      <c r="I391" s="33"/>
    </row>
    <row r="392" spans="4:9" x14ac:dyDescent="0.25">
      <c r="D392" s="16"/>
      <c r="G392" s="15"/>
      <c r="I392" s="33"/>
    </row>
    <row r="393" spans="4:9" x14ac:dyDescent="0.25">
      <c r="D393" s="16"/>
      <c r="G393" s="15"/>
      <c r="I393" s="33"/>
    </row>
    <row r="394" spans="4:9" x14ac:dyDescent="0.25">
      <c r="D394" s="16"/>
      <c r="G394" s="15"/>
      <c r="I394" s="33"/>
    </row>
    <row r="395" spans="4:9" x14ac:dyDescent="0.25">
      <c r="D395" s="16"/>
      <c r="G395" s="15"/>
      <c r="I395" s="33"/>
    </row>
    <row r="396" spans="4:9" x14ac:dyDescent="0.25">
      <c r="D396" s="16"/>
      <c r="G396" s="15"/>
      <c r="I396" s="33"/>
    </row>
    <row r="397" spans="4:9" x14ac:dyDescent="0.25">
      <c r="D397" s="16"/>
      <c r="G397" s="15"/>
      <c r="I397" s="33"/>
    </row>
    <row r="398" spans="4:9" x14ac:dyDescent="0.25">
      <c r="D398" s="16"/>
      <c r="G398" s="15"/>
      <c r="I398" s="33"/>
    </row>
    <row r="399" spans="4:9" x14ac:dyDescent="0.25">
      <c r="D399" s="16"/>
      <c r="G399" s="15"/>
      <c r="I399" s="33"/>
    </row>
    <row r="400" spans="4:9" x14ac:dyDescent="0.25">
      <c r="D400" s="16"/>
      <c r="G400" s="15"/>
      <c r="I400" s="33"/>
    </row>
    <row r="401" spans="4:9" x14ac:dyDescent="0.25">
      <c r="D401" s="16"/>
      <c r="G401" s="15"/>
      <c r="I401" s="33"/>
    </row>
    <row r="402" spans="4:9" x14ac:dyDescent="0.25">
      <c r="D402" s="16"/>
      <c r="G402" s="15"/>
      <c r="I402" s="33"/>
    </row>
    <row r="403" spans="4:9" x14ac:dyDescent="0.25">
      <c r="D403" s="16"/>
      <c r="G403" s="15"/>
      <c r="I403" s="33"/>
    </row>
    <row r="404" spans="4:9" x14ac:dyDescent="0.25">
      <c r="D404" s="16"/>
      <c r="G404" s="15"/>
      <c r="I404" s="33"/>
    </row>
    <row r="405" spans="4:9" x14ac:dyDescent="0.25">
      <c r="D405" s="16"/>
      <c r="G405" s="15"/>
      <c r="I405" s="33"/>
    </row>
    <row r="406" spans="4:9" x14ac:dyDescent="0.25">
      <c r="D406" s="16"/>
      <c r="G406" s="15"/>
      <c r="I406" s="33"/>
    </row>
    <row r="407" spans="4:9" x14ac:dyDescent="0.25">
      <c r="D407" s="16"/>
      <c r="G407" s="15"/>
      <c r="I407" s="33"/>
    </row>
    <row r="408" spans="4:9" x14ac:dyDescent="0.25">
      <c r="D408" s="16"/>
      <c r="G408" s="15"/>
      <c r="I408" s="33"/>
    </row>
    <row r="409" spans="4:9" x14ac:dyDescent="0.25">
      <c r="D409" s="16"/>
      <c r="G409" s="15"/>
      <c r="I409" s="33"/>
    </row>
    <row r="410" spans="4:9" x14ac:dyDescent="0.25">
      <c r="D410" s="16"/>
      <c r="G410" s="15"/>
      <c r="I410" s="33"/>
    </row>
    <row r="411" spans="4:9" x14ac:dyDescent="0.25">
      <c r="D411" s="16"/>
      <c r="G411" s="15"/>
      <c r="I411" s="33"/>
    </row>
    <row r="412" spans="4:9" x14ac:dyDescent="0.25">
      <c r="D412" s="16"/>
      <c r="G412" s="15"/>
      <c r="I412" s="33"/>
    </row>
    <row r="413" spans="4:9" x14ac:dyDescent="0.25">
      <c r="D413" s="16"/>
      <c r="G413" s="15"/>
      <c r="I413" s="33"/>
    </row>
    <row r="414" spans="4:9" x14ac:dyDescent="0.25">
      <c r="D414" s="16"/>
      <c r="G414" s="15"/>
      <c r="I414" s="33"/>
    </row>
    <row r="415" spans="4:9" x14ac:dyDescent="0.25">
      <c r="D415" s="16"/>
      <c r="G415" s="15"/>
      <c r="I415" s="33"/>
    </row>
    <row r="416" spans="4:9" x14ac:dyDescent="0.25">
      <c r="D416" s="16"/>
      <c r="G416" s="15"/>
      <c r="I416" s="33"/>
    </row>
    <row r="417" spans="4:9" x14ac:dyDescent="0.25">
      <c r="D417" s="16"/>
      <c r="G417" s="15"/>
      <c r="I417" s="33"/>
    </row>
    <row r="418" spans="4:9" x14ac:dyDescent="0.25">
      <c r="D418" s="16"/>
      <c r="G418" s="15"/>
      <c r="I418" s="33"/>
    </row>
    <row r="419" spans="4:9" x14ac:dyDescent="0.25">
      <c r="D419" s="16"/>
      <c r="G419" s="15"/>
      <c r="I419" s="33"/>
    </row>
    <row r="420" spans="4:9" x14ac:dyDescent="0.25">
      <c r="D420" s="16"/>
      <c r="G420" s="15"/>
      <c r="I420" s="33"/>
    </row>
    <row r="421" spans="4:9" x14ac:dyDescent="0.25">
      <c r="D421" s="16"/>
      <c r="G421" s="15"/>
      <c r="I421" s="33"/>
    </row>
    <row r="422" spans="4:9" x14ac:dyDescent="0.25">
      <c r="D422" s="16"/>
      <c r="G422" s="15"/>
      <c r="I422" s="33"/>
    </row>
    <row r="423" spans="4:9" x14ac:dyDescent="0.25">
      <c r="D423" s="16"/>
      <c r="G423" s="15"/>
      <c r="I423" s="33"/>
    </row>
    <row r="424" spans="4:9" x14ac:dyDescent="0.25">
      <c r="D424" s="16"/>
      <c r="G424" s="15"/>
      <c r="I424" s="33"/>
    </row>
    <row r="425" spans="4:9" x14ac:dyDescent="0.25">
      <c r="D425" s="16"/>
      <c r="G425" s="15"/>
      <c r="I425" s="33"/>
    </row>
    <row r="426" spans="4:9" x14ac:dyDescent="0.25">
      <c r="D426" s="16"/>
      <c r="G426" s="15"/>
      <c r="I426" s="33"/>
    </row>
    <row r="427" spans="4:9" x14ac:dyDescent="0.25">
      <c r="D427" s="16"/>
      <c r="G427" s="15"/>
      <c r="I427" s="33"/>
    </row>
    <row r="428" spans="4:9" x14ac:dyDescent="0.25">
      <c r="D428" s="16"/>
      <c r="G428" s="15"/>
      <c r="I428" s="33"/>
    </row>
    <row r="429" spans="4:9" x14ac:dyDescent="0.25">
      <c r="D429" s="16"/>
      <c r="G429" s="15"/>
      <c r="I429" s="33"/>
    </row>
    <row r="430" spans="4:9" x14ac:dyDescent="0.25">
      <c r="D430" s="16"/>
      <c r="G430" s="15"/>
      <c r="I430" s="33"/>
    </row>
    <row r="431" spans="4:9" x14ac:dyDescent="0.25">
      <c r="D431" s="16"/>
      <c r="G431" s="15"/>
      <c r="I431" s="33"/>
    </row>
    <row r="432" spans="4:9" x14ac:dyDescent="0.25">
      <c r="D432" s="16"/>
      <c r="G432" s="15"/>
      <c r="I432" s="33"/>
    </row>
    <row r="433" spans="4:9" x14ac:dyDescent="0.25">
      <c r="D433" s="16"/>
      <c r="G433" s="15"/>
      <c r="I433" s="33"/>
    </row>
    <row r="434" spans="4:9" x14ac:dyDescent="0.25">
      <c r="D434" s="16"/>
      <c r="I434" s="33"/>
    </row>
    <row r="435" spans="4:9" x14ac:dyDescent="0.25">
      <c r="D435" s="16"/>
      <c r="I435" s="33"/>
    </row>
    <row r="436" spans="4:9" x14ac:dyDescent="0.25">
      <c r="D436" s="16"/>
      <c r="I436" s="33"/>
    </row>
    <row r="437" spans="4:9" x14ac:dyDescent="0.25">
      <c r="D437" s="16"/>
      <c r="I437" s="33"/>
    </row>
    <row r="438" spans="4:9" x14ac:dyDescent="0.25">
      <c r="D438" s="16"/>
      <c r="I438" s="33"/>
    </row>
    <row r="439" spans="4:9" x14ac:dyDescent="0.25">
      <c r="D439" s="16"/>
      <c r="I439" s="33"/>
    </row>
    <row r="440" spans="4:9" x14ac:dyDescent="0.25">
      <c r="D440" s="16"/>
      <c r="I440" s="33"/>
    </row>
    <row r="441" spans="4:9" x14ac:dyDescent="0.25">
      <c r="D441" s="16"/>
      <c r="I441" s="33"/>
    </row>
    <row r="442" spans="4:9" x14ac:dyDescent="0.25">
      <c r="D442" s="16"/>
      <c r="I442" s="33"/>
    </row>
    <row r="443" spans="4:9" x14ac:dyDescent="0.25">
      <c r="D443" s="16"/>
      <c r="I443" s="33"/>
    </row>
    <row r="444" spans="4:9" x14ac:dyDescent="0.25">
      <c r="D444" s="16"/>
      <c r="I444" s="33"/>
    </row>
    <row r="445" spans="4:9" x14ac:dyDescent="0.25">
      <c r="D445" s="16"/>
      <c r="I445" s="33"/>
    </row>
    <row r="446" spans="4:9" x14ac:dyDescent="0.25">
      <c r="D446" s="16"/>
      <c r="I446" s="33"/>
    </row>
    <row r="447" spans="4:9" x14ac:dyDescent="0.25">
      <c r="D447" s="16"/>
      <c r="I447" s="33"/>
    </row>
    <row r="448" spans="4:9" x14ac:dyDescent="0.25">
      <c r="D448" s="16"/>
      <c r="I448" s="33"/>
    </row>
    <row r="449" spans="4:9" x14ac:dyDescent="0.25">
      <c r="D449" s="16"/>
      <c r="I449" s="33"/>
    </row>
    <row r="450" spans="4:9" x14ac:dyDescent="0.25">
      <c r="D450" s="16"/>
      <c r="I450" s="33"/>
    </row>
    <row r="451" spans="4:9" x14ac:dyDescent="0.25">
      <c r="D451" s="16"/>
      <c r="I451" s="33"/>
    </row>
    <row r="452" spans="4:9" x14ac:dyDescent="0.25">
      <c r="D452" s="16"/>
      <c r="I452" s="33"/>
    </row>
    <row r="453" spans="4:9" x14ac:dyDescent="0.25">
      <c r="D453" s="16"/>
      <c r="I453" s="33"/>
    </row>
    <row r="454" spans="4:9" x14ac:dyDescent="0.25">
      <c r="D454" s="16"/>
      <c r="I454" s="33"/>
    </row>
    <row r="455" spans="4:9" x14ac:dyDescent="0.25">
      <c r="D455" s="16"/>
      <c r="I455" s="33"/>
    </row>
    <row r="456" spans="4:9" x14ac:dyDescent="0.25">
      <c r="D456" s="16"/>
      <c r="I456" s="33"/>
    </row>
    <row r="457" spans="4:9" x14ac:dyDescent="0.25">
      <c r="D457" s="16"/>
      <c r="I457" s="33"/>
    </row>
    <row r="458" spans="4:9" x14ac:dyDescent="0.25">
      <c r="D458" s="16"/>
      <c r="I458" s="33"/>
    </row>
    <row r="459" spans="4:9" x14ac:dyDescent="0.25">
      <c r="D459" s="16"/>
      <c r="I459" s="33"/>
    </row>
    <row r="460" spans="4:9" x14ac:dyDescent="0.25">
      <c r="D460" s="16"/>
      <c r="I460" s="33"/>
    </row>
    <row r="461" spans="4:9" x14ac:dyDescent="0.25">
      <c r="D461" s="16"/>
      <c r="I461" s="33"/>
    </row>
    <row r="462" spans="4:9" x14ac:dyDescent="0.25">
      <c r="D462" s="16"/>
      <c r="I462" s="33"/>
    </row>
    <row r="463" spans="4:9" x14ac:dyDescent="0.25">
      <c r="D463" s="16"/>
      <c r="I463" s="33"/>
    </row>
    <row r="464" spans="4:9" x14ac:dyDescent="0.25">
      <c r="D464" s="16"/>
      <c r="I464" s="33"/>
    </row>
    <row r="465" spans="4:9" x14ac:dyDescent="0.25">
      <c r="D465" s="16"/>
      <c r="I465" s="33"/>
    </row>
    <row r="466" spans="4:9" x14ac:dyDescent="0.25">
      <c r="D466" s="16"/>
      <c r="I466" s="33"/>
    </row>
    <row r="467" spans="4:9" x14ac:dyDescent="0.25">
      <c r="D467" s="16"/>
      <c r="I467" s="33"/>
    </row>
    <row r="468" spans="4:9" x14ac:dyDescent="0.25">
      <c r="D468" s="16"/>
      <c r="I468" s="33"/>
    </row>
    <row r="469" spans="4:9" x14ac:dyDescent="0.25">
      <c r="D469" s="16"/>
      <c r="I469" s="33"/>
    </row>
    <row r="470" spans="4:9" x14ac:dyDescent="0.25">
      <c r="D470" s="16"/>
      <c r="I470" s="33"/>
    </row>
    <row r="471" spans="4:9" x14ac:dyDescent="0.25">
      <c r="D471" s="16"/>
      <c r="I471" s="33"/>
    </row>
    <row r="472" spans="4:9" x14ac:dyDescent="0.25">
      <c r="D472" s="16"/>
      <c r="I472" s="33"/>
    </row>
    <row r="473" spans="4:9" x14ac:dyDescent="0.25">
      <c r="D473" s="16"/>
      <c r="I473" s="33"/>
    </row>
    <row r="474" spans="4:9" x14ac:dyDescent="0.25">
      <c r="D474" s="16"/>
      <c r="I474" s="33"/>
    </row>
    <row r="475" spans="4:9" x14ac:dyDescent="0.25">
      <c r="D475" s="16"/>
      <c r="I475" s="33"/>
    </row>
    <row r="476" spans="4:9" x14ac:dyDescent="0.25">
      <c r="D476" s="16"/>
      <c r="I476" s="33"/>
    </row>
    <row r="477" spans="4:9" x14ac:dyDescent="0.25">
      <c r="D477" s="16"/>
      <c r="I477" s="33"/>
    </row>
    <row r="478" spans="4:9" x14ac:dyDescent="0.25">
      <c r="D478" s="16"/>
      <c r="I478" s="33"/>
    </row>
    <row r="479" spans="4:9" x14ac:dyDescent="0.25">
      <c r="D479" s="16"/>
      <c r="I479" s="33"/>
    </row>
    <row r="480" spans="4:9" x14ac:dyDescent="0.25">
      <c r="D480" s="16"/>
      <c r="I480" s="33"/>
    </row>
    <row r="481" spans="4:9" x14ac:dyDescent="0.25">
      <c r="D481" s="16"/>
      <c r="I481" s="33"/>
    </row>
    <row r="482" spans="4:9" x14ac:dyDescent="0.25">
      <c r="D482" s="16"/>
      <c r="I482" s="33"/>
    </row>
    <row r="483" spans="4:9" x14ac:dyDescent="0.25">
      <c r="D483" s="16"/>
      <c r="I483" s="33"/>
    </row>
    <row r="484" spans="4:9" x14ac:dyDescent="0.25">
      <c r="D484" s="16"/>
      <c r="I484" s="33"/>
    </row>
    <row r="485" spans="4:9" x14ac:dyDescent="0.25">
      <c r="D485" s="16"/>
      <c r="I485" s="33"/>
    </row>
    <row r="486" spans="4:9" x14ac:dyDescent="0.25">
      <c r="D486" s="16"/>
      <c r="I486" s="33"/>
    </row>
    <row r="487" spans="4:9" x14ac:dyDescent="0.25">
      <c r="D487" s="16"/>
      <c r="I487" s="33"/>
    </row>
    <row r="488" spans="4:9" x14ac:dyDescent="0.25">
      <c r="D488" s="16"/>
      <c r="I488" s="33"/>
    </row>
    <row r="489" spans="4:9" x14ac:dyDescent="0.25">
      <c r="D489" s="16"/>
      <c r="I489" s="33"/>
    </row>
    <row r="490" spans="4:9" x14ac:dyDescent="0.25">
      <c r="D490" s="16"/>
      <c r="I490" s="33"/>
    </row>
    <row r="491" spans="4:9" x14ac:dyDescent="0.25">
      <c r="D491" s="16"/>
      <c r="I491" s="33"/>
    </row>
    <row r="492" spans="4:9" x14ac:dyDescent="0.25">
      <c r="D492" s="16"/>
      <c r="I492" s="33"/>
    </row>
    <row r="493" spans="4:9" x14ac:dyDescent="0.25">
      <c r="D493" s="16"/>
      <c r="I493" s="33"/>
    </row>
    <row r="494" spans="4:9" x14ac:dyDescent="0.25">
      <c r="D494" s="16"/>
      <c r="I494" s="33"/>
    </row>
    <row r="495" spans="4:9" x14ac:dyDescent="0.25">
      <c r="D495" s="16"/>
      <c r="I495" s="33"/>
    </row>
    <row r="496" spans="4:9" x14ac:dyDescent="0.25">
      <c r="D496" s="16"/>
      <c r="I496" s="33"/>
    </row>
    <row r="497" spans="4:9" x14ac:dyDescent="0.25">
      <c r="D497" s="16"/>
      <c r="I497" s="33"/>
    </row>
    <row r="498" spans="4:9" x14ac:dyDescent="0.25">
      <c r="D498" s="16"/>
      <c r="I498" s="33"/>
    </row>
    <row r="499" spans="4:9" x14ac:dyDescent="0.25">
      <c r="D499" s="16"/>
      <c r="I499" s="33"/>
    </row>
    <row r="500" spans="4:9" x14ac:dyDescent="0.25">
      <c r="D500" s="16"/>
      <c r="I500" s="33"/>
    </row>
    <row r="501" spans="4:9" x14ac:dyDescent="0.25">
      <c r="D501" s="16"/>
      <c r="I501" s="33"/>
    </row>
    <row r="502" spans="4:9" x14ac:dyDescent="0.25">
      <c r="D502" s="16"/>
      <c r="I502" s="33"/>
    </row>
    <row r="503" spans="4:9" x14ac:dyDescent="0.25">
      <c r="D503" s="16"/>
      <c r="I503" s="33"/>
    </row>
    <row r="504" spans="4:9" x14ac:dyDescent="0.25">
      <c r="D504" s="16"/>
      <c r="I504" s="33"/>
    </row>
    <row r="505" spans="4:9" x14ac:dyDescent="0.25">
      <c r="D505" s="16"/>
      <c r="I505" s="33"/>
    </row>
    <row r="506" spans="4:9" x14ac:dyDescent="0.25">
      <c r="D506" s="16"/>
      <c r="I506" s="33"/>
    </row>
    <row r="507" spans="4:9" x14ac:dyDescent="0.25">
      <c r="D507" s="16"/>
      <c r="I507" s="33"/>
    </row>
    <row r="508" spans="4:9" x14ac:dyDescent="0.25">
      <c r="D508" s="16"/>
      <c r="I508" s="33"/>
    </row>
    <row r="509" spans="4:9" x14ac:dyDescent="0.25">
      <c r="D509" s="16"/>
      <c r="I509" s="33"/>
    </row>
    <row r="510" spans="4:9" x14ac:dyDescent="0.25">
      <c r="D510" s="16"/>
      <c r="I510" s="33"/>
    </row>
    <row r="511" spans="4:9" x14ac:dyDescent="0.25">
      <c r="D511" s="16"/>
      <c r="I511" s="33"/>
    </row>
    <row r="512" spans="4:9" x14ac:dyDescent="0.25">
      <c r="D512" s="16"/>
      <c r="I512" s="33"/>
    </row>
    <row r="513" spans="4:9" x14ac:dyDescent="0.25">
      <c r="D513" s="16"/>
      <c r="I513" s="33"/>
    </row>
    <row r="514" spans="4:9" x14ac:dyDescent="0.25">
      <c r="D514" s="16"/>
      <c r="I514" s="33"/>
    </row>
    <row r="515" spans="4:9" x14ac:dyDescent="0.25">
      <c r="D515" s="16"/>
      <c r="I515" s="33"/>
    </row>
    <row r="516" spans="4:9" x14ac:dyDescent="0.25">
      <c r="D516" s="16"/>
      <c r="I516" s="33"/>
    </row>
    <row r="517" spans="4:9" x14ac:dyDescent="0.25">
      <c r="D517" s="16"/>
      <c r="I517" s="33"/>
    </row>
    <row r="518" spans="4:9" x14ac:dyDescent="0.25">
      <c r="D518" s="16"/>
      <c r="I518" s="33"/>
    </row>
    <row r="519" spans="4:9" x14ac:dyDescent="0.25">
      <c r="D519" s="16"/>
      <c r="I519" s="33"/>
    </row>
    <row r="520" spans="4:9" x14ac:dyDescent="0.25">
      <c r="D520" s="16"/>
      <c r="I520" s="33"/>
    </row>
    <row r="521" spans="4:9" x14ac:dyDescent="0.25">
      <c r="D521" s="16"/>
      <c r="I521" s="33"/>
    </row>
    <row r="522" spans="4:9" x14ac:dyDescent="0.25">
      <c r="D522" s="16"/>
      <c r="I522" s="33"/>
    </row>
    <row r="523" spans="4:9" x14ac:dyDescent="0.25">
      <c r="D523" s="16"/>
      <c r="I523" s="33"/>
    </row>
    <row r="524" spans="4:9" x14ac:dyDescent="0.25">
      <c r="D524" s="16"/>
      <c r="I524" s="33"/>
    </row>
    <row r="525" spans="4:9" x14ac:dyDescent="0.25">
      <c r="D525" s="16"/>
      <c r="I525" s="33"/>
    </row>
    <row r="526" spans="4:9" x14ac:dyDescent="0.25">
      <c r="D526" s="16"/>
      <c r="I526" s="33"/>
    </row>
    <row r="527" spans="4:9" x14ac:dyDescent="0.25">
      <c r="D527" s="16"/>
      <c r="I527" s="33"/>
    </row>
    <row r="528" spans="4:9" x14ac:dyDescent="0.25">
      <c r="D528" s="16"/>
      <c r="I528" s="33"/>
    </row>
    <row r="529" spans="4:9" x14ac:dyDescent="0.25">
      <c r="D529" s="16"/>
      <c r="I529" s="33"/>
    </row>
    <row r="530" spans="4:9" x14ac:dyDescent="0.25">
      <c r="D530" s="16"/>
      <c r="I530" s="33"/>
    </row>
    <row r="531" spans="4:9" x14ac:dyDescent="0.25">
      <c r="D531" s="16"/>
      <c r="I531" s="33"/>
    </row>
    <row r="532" spans="4:9" x14ac:dyDescent="0.25">
      <c r="D532" s="16"/>
      <c r="I532" s="33"/>
    </row>
    <row r="533" spans="4:9" x14ac:dyDescent="0.25">
      <c r="D533" s="16"/>
      <c r="I533" s="33"/>
    </row>
    <row r="534" spans="4:9" x14ac:dyDescent="0.25">
      <c r="D534" s="16"/>
      <c r="I534" s="33"/>
    </row>
    <row r="535" spans="4:9" x14ac:dyDescent="0.25">
      <c r="D535" s="16"/>
      <c r="I535" s="33"/>
    </row>
    <row r="536" spans="4:9" x14ac:dyDescent="0.25">
      <c r="D536" s="16"/>
      <c r="I536" s="33"/>
    </row>
    <row r="537" spans="4:9" x14ac:dyDescent="0.25">
      <c r="D537" s="16"/>
      <c r="I537" s="33"/>
    </row>
    <row r="538" spans="4:9" x14ac:dyDescent="0.25">
      <c r="D538" s="16"/>
      <c r="I538" s="33"/>
    </row>
    <row r="539" spans="4:9" x14ac:dyDescent="0.25">
      <c r="D539" s="16"/>
      <c r="I539" s="33"/>
    </row>
    <row r="540" spans="4:9" x14ac:dyDescent="0.25">
      <c r="D540" s="16"/>
      <c r="I540" s="33"/>
    </row>
    <row r="541" spans="4:9" x14ac:dyDescent="0.25">
      <c r="D541" s="16"/>
      <c r="I541" s="33"/>
    </row>
    <row r="542" spans="4:9" x14ac:dyDescent="0.25">
      <c r="D542" s="16"/>
      <c r="I542" s="33"/>
    </row>
    <row r="543" spans="4:9" x14ac:dyDescent="0.25">
      <c r="D543" s="16"/>
      <c r="I543" s="33"/>
    </row>
    <row r="544" spans="4:9" x14ac:dyDescent="0.25">
      <c r="D544" s="16"/>
      <c r="I544" s="33"/>
    </row>
    <row r="545" spans="4:9" x14ac:dyDescent="0.25">
      <c r="D545" s="16"/>
      <c r="I545" s="33"/>
    </row>
    <row r="546" spans="4:9" x14ac:dyDescent="0.25">
      <c r="D546" s="16"/>
      <c r="I546" s="33"/>
    </row>
    <row r="547" spans="4:9" x14ac:dyDescent="0.25">
      <c r="D547" s="16"/>
      <c r="I547" s="33"/>
    </row>
    <row r="548" spans="4:9" x14ac:dyDescent="0.25">
      <c r="D548" s="16"/>
      <c r="I548" s="33"/>
    </row>
    <row r="549" spans="4:9" x14ac:dyDescent="0.25">
      <c r="D549" s="16"/>
      <c r="I549" s="33"/>
    </row>
    <row r="550" spans="4:9" x14ac:dyDescent="0.25">
      <c r="D550" s="16"/>
      <c r="I550" s="33"/>
    </row>
    <row r="551" spans="4:9" x14ac:dyDescent="0.25">
      <c r="D551" s="16"/>
      <c r="I551" s="33"/>
    </row>
    <row r="552" spans="4:9" x14ac:dyDescent="0.25">
      <c r="D552" s="16"/>
      <c r="I552" s="33"/>
    </row>
    <row r="553" spans="4:9" x14ac:dyDescent="0.25">
      <c r="D553" s="16"/>
      <c r="I553" s="33"/>
    </row>
    <row r="554" spans="4:9" x14ac:dyDescent="0.25">
      <c r="D554" s="16"/>
      <c r="I554" s="33"/>
    </row>
    <row r="555" spans="4:9" x14ac:dyDescent="0.25">
      <c r="D555" s="16"/>
      <c r="I555" s="33"/>
    </row>
    <row r="556" spans="4:9" x14ac:dyDescent="0.25">
      <c r="D556" s="16"/>
      <c r="I556" s="33"/>
    </row>
    <row r="557" spans="4:9" x14ac:dyDescent="0.25">
      <c r="D557" s="16"/>
      <c r="I557" s="33"/>
    </row>
    <row r="558" spans="4:9" x14ac:dyDescent="0.25">
      <c r="D558" s="16"/>
      <c r="I558" s="33"/>
    </row>
    <row r="559" spans="4:9" x14ac:dyDescent="0.25">
      <c r="D559" s="16"/>
      <c r="I559" s="33"/>
    </row>
    <row r="560" spans="4:9" x14ac:dyDescent="0.25">
      <c r="D560" s="16"/>
      <c r="I560" s="33"/>
    </row>
    <row r="561" spans="4:9" x14ac:dyDescent="0.25">
      <c r="D561" s="16"/>
      <c r="I561" s="33"/>
    </row>
    <row r="562" spans="4:9" x14ac:dyDescent="0.25">
      <c r="D562" s="16"/>
      <c r="I562" s="33"/>
    </row>
    <row r="563" spans="4:9" x14ac:dyDescent="0.25">
      <c r="D563" s="16"/>
      <c r="I563" s="33"/>
    </row>
    <row r="564" spans="4:9" x14ac:dyDescent="0.25">
      <c r="D564" s="16"/>
      <c r="I564" s="33"/>
    </row>
    <row r="565" spans="4:9" x14ac:dyDescent="0.25">
      <c r="D565" s="16"/>
      <c r="I565" s="33"/>
    </row>
    <row r="566" spans="4:9" x14ac:dyDescent="0.25">
      <c r="D566" s="16"/>
      <c r="I566" s="33"/>
    </row>
    <row r="567" spans="4:9" x14ac:dyDescent="0.25">
      <c r="D567" s="16"/>
      <c r="I567" s="33"/>
    </row>
    <row r="568" spans="4:9" x14ac:dyDescent="0.25">
      <c r="D568" s="16"/>
      <c r="I568" s="33"/>
    </row>
    <row r="569" spans="4:9" x14ac:dyDescent="0.25">
      <c r="D569" s="16"/>
      <c r="I569" s="33"/>
    </row>
    <row r="570" spans="4:9" x14ac:dyDescent="0.25">
      <c r="D570" s="16"/>
      <c r="I570" s="33"/>
    </row>
    <row r="571" spans="4:9" x14ac:dyDescent="0.25">
      <c r="D571" s="16"/>
      <c r="I571" s="33"/>
    </row>
    <row r="572" spans="4:9" x14ac:dyDescent="0.25">
      <c r="D572" s="16"/>
      <c r="I572" s="33"/>
    </row>
    <row r="573" spans="4:9" x14ac:dyDescent="0.25">
      <c r="D573" s="16"/>
      <c r="I573" s="33"/>
    </row>
    <row r="574" spans="4:9" x14ac:dyDescent="0.25">
      <c r="D574" s="16"/>
      <c r="I574" s="33"/>
    </row>
    <row r="575" spans="4:9" x14ac:dyDescent="0.25">
      <c r="D575" s="16"/>
      <c r="I575" s="33"/>
    </row>
    <row r="576" spans="4:9" x14ac:dyDescent="0.25">
      <c r="D576" s="16"/>
      <c r="I576" s="33"/>
    </row>
    <row r="577" spans="4:9" x14ac:dyDescent="0.25">
      <c r="D577" s="16"/>
      <c r="I577" s="33"/>
    </row>
    <row r="578" spans="4:9" x14ac:dyDescent="0.25">
      <c r="D578" s="16"/>
      <c r="I578" s="33"/>
    </row>
    <row r="579" spans="4:9" x14ac:dyDescent="0.25">
      <c r="D579" s="16"/>
      <c r="I579" s="33"/>
    </row>
    <row r="580" spans="4:9" x14ac:dyDescent="0.25">
      <c r="D580" s="16"/>
      <c r="I580" s="33"/>
    </row>
    <row r="581" spans="4:9" x14ac:dyDescent="0.25">
      <c r="D581" s="16"/>
      <c r="I581" s="33"/>
    </row>
    <row r="582" spans="4:9" x14ac:dyDescent="0.25">
      <c r="D582" s="16"/>
      <c r="I582" s="33"/>
    </row>
    <row r="583" spans="4:9" x14ac:dyDescent="0.25">
      <c r="D583" s="16"/>
      <c r="I583" s="33"/>
    </row>
    <row r="584" spans="4:9" x14ac:dyDescent="0.25">
      <c r="D584" s="16"/>
      <c r="I584" s="33"/>
    </row>
    <row r="585" spans="4:9" x14ac:dyDescent="0.25">
      <c r="D585" s="16"/>
      <c r="I585" s="33"/>
    </row>
    <row r="586" spans="4:9" x14ac:dyDescent="0.25">
      <c r="D586" s="16"/>
      <c r="I586" s="33"/>
    </row>
    <row r="587" spans="4:9" x14ac:dyDescent="0.25">
      <c r="D587" s="16"/>
      <c r="I587" s="33"/>
    </row>
    <row r="588" spans="4:9" x14ac:dyDescent="0.25">
      <c r="D588" s="16"/>
      <c r="I588" s="33"/>
    </row>
    <row r="589" spans="4:9" x14ac:dyDescent="0.25">
      <c r="D589" s="16"/>
      <c r="I589" s="33"/>
    </row>
    <row r="590" spans="4:9" x14ac:dyDescent="0.25">
      <c r="D590" s="16"/>
      <c r="I590" s="33"/>
    </row>
    <row r="591" spans="4:9" x14ac:dyDescent="0.25">
      <c r="D591" s="16"/>
      <c r="I591" s="33"/>
    </row>
    <row r="592" spans="4:9" x14ac:dyDescent="0.25">
      <c r="D592" s="16"/>
      <c r="I592" s="33"/>
    </row>
    <row r="593" spans="4:9" x14ac:dyDescent="0.25">
      <c r="D593" s="16"/>
      <c r="I593" s="33"/>
    </row>
    <row r="594" spans="4:9" x14ac:dyDescent="0.25">
      <c r="D594" s="16"/>
      <c r="I594" s="33"/>
    </row>
    <row r="595" spans="4:9" x14ac:dyDescent="0.25">
      <c r="D595" s="16"/>
      <c r="I595" s="33"/>
    </row>
    <row r="596" spans="4:9" x14ac:dyDescent="0.25">
      <c r="D596" s="16"/>
      <c r="I596" s="33"/>
    </row>
    <row r="597" spans="4:9" x14ac:dyDescent="0.25">
      <c r="D597" s="16"/>
      <c r="I597" s="33"/>
    </row>
    <row r="598" spans="4:9" x14ac:dyDescent="0.25">
      <c r="D598" s="16"/>
      <c r="I598" s="33"/>
    </row>
    <row r="599" spans="4:9" x14ac:dyDescent="0.25">
      <c r="D599" s="16"/>
      <c r="I599" s="33"/>
    </row>
    <row r="600" spans="4:9" x14ac:dyDescent="0.25">
      <c r="D600" s="16"/>
      <c r="I600" s="33"/>
    </row>
    <row r="601" spans="4:9" x14ac:dyDescent="0.25">
      <c r="D601" s="16"/>
      <c r="I601" s="33"/>
    </row>
    <row r="602" spans="4:9" x14ac:dyDescent="0.25">
      <c r="D602" s="16"/>
      <c r="I602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workbookViewId="0">
      <selection activeCell="D26" sqref="D26"/>
    </sheetView>
  </sheetViews>
  <sheetFormatPr defaultRowHeight="15" x14ac:dyDescent="0.25"/>
  <cols>
    <col min="1" max="1" width="9.140625" customWidth="1"/>
    <col min="2" max="2" width="53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  <col min="7" max="7" width="12.28515625" bestFit="1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101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102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102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102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102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102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102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102</v>
      </c>
    </row>
    <row r="9" spans="1:7" x14ac:dyDescent="0.25">
      <c r="A9" t="s">
        <v>7</v>
      </c>
      <c r="B9" t="s">
        <v>104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103</v>
      </c>
    </row>
    <row r="10" spans="1:7" x14ac:dyDescent="0.25">
      <c r="A10" t="s">
        <v>12</v>
      </c>
      <c r="B10" t="s">
        <v>104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103</v>
      </c>
    </row>
    <row r="11" spans="1:7" x14ac:dyDescent="0.25">
      <c r="A11" t="s">
        <v>14</v>
      </c>
      <c r="B11" t="s">
        <v>104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103</v>
      </c>
    </row>
    <row r="12" spans="1:7" x14ac:dyDescent="0.25">
      <c r="A12" t="s">
        <v>17</v>
      </c>
      <c r="B12" t="s">
        <v>104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103</v>
      </c>
    </row>
    <row r="13" spans="1:7" x14ac:dyDescent="0.25">
      <c r="A13" t="s">
        <v>19</v>
      </c>
      <c r="B13" t="s">
        <v>104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103</v>
      </c>
    </row>
    <row r="14" spans="1:7" x14ac:dyDescent="0.25">
      <c r="A14" t="s">
        <v>21</v>
      </c>
      <c r="B14" t="s">
        <v>104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103</v>
      </c>
    </row>
    <row r="15" spans="1:7" x14ac:dyDescent="0.25">
      <c r="A15" t="s">
        <v>50</v>
      </c>
      <c r="B15" t="s">
        <v>104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103</v>
      </c>
    </row>
    <row r="16" spans="1:7" x14ac:dyDescent="0.25">
      <c r="A16" t="s">
        <v>59</v>
      </c>
      <c r="B16" t="s">
        <v>104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103</v>
      </c>
    </row>
    <row r="17" spans="1:7" x14ac:dyDescent="0.25">
      <c r="A17" t="s">
        <v>80</v>
      </c>
      <c r="B17" t="s">
        <v>104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103</v>
      </c>
    </row>
    <row r="18" spans="1:7" x14ac:dyDescent="0.25">
      <c r="A18" t="s">
        <v>7</v>
      </c>
      <c r="B18" t="s">
        <v>105</v>
      </c>
      <c r="C18">
        <v>177.7</v>
      </c>
      <c r="D18">
        <v>17.77</v>
      </c>
      <c r="E18">
        <v>17.77</v>
      </c>
      <c r="F18" s="29">
        <f>Table5[[#This Row],[Charge_Per_Head]]-Table5[[#This Row],[Paid_Amt]]</f>
        <v>0</v>
      </c>
      <c r="G18" t="s">
        <v>106</v>
      </c>
    </row>
    <row r="19" spans="1:7" x14ac:dyDescent="0.25">
      <c r="A19" t="s">
        <v>12</v>
      </c>
      <c r="B19" t="s">
        <v>105</v>
      </c>
      <c r="C19">
        <v>177.7</v>
      </c>
      <c r="D19">
        <v>17.77</v>
      </c>
      <c r="E19">
        <v>0</v>
      </c>
      <c r="F19" s="29">
        <f>Table5[[#This Row],[Charge_Per_Head]]-Table5[[#This Row],[Paid_Amt]]</f>
        <v>17.77</v>
      </c>
      <c r="G19" t="s">
        <v>106</v>
      </c>
    </row>
    <row r="20" spans="1:7" x14ac:dyDescent="0.25">
      <c r="A20" t="s">
        <v>14</v>
      </c>
      <c r="B20" t="s">
        <v>105</v>
      </c>
      <c r="C20">
        <v>177.7</v>
      </c>
      <c r="D20">
        <v>17.77</v>
      </c>
      <c r="E20">
        <v>17.77</v>
      </c>
      <c r="F20" s="29">
        <f>Table5[[#This Row],[Charge_Per_Head]]-Table5[[#This Row],[Paid_Amt]]</f>
        <v>0</v>
      </c>
      <c r="G20" t="s">
        <v>106</v>
      </c>
    </row>
    <row r="21" spans="1:7" x14ac:dyDescent="0.25">
      <c r="A21" t="s">
        <v>17</v>
      </c>
      <c r="B21" t="s">
        <v>105</v>
      </c>
      <c r="C21">
        <v>177.7</v>
      </c>
      <c r="D21">
        <v>17.77</v>
      </c>
      <c r="E21">
        <v>17.77</v>
      </c>
      <c r="F21" s="29">
        <f>Table5[[#This Row],[Charge_Per_Head]]-Table5[[#This Row],[Paid_Amt]]</f>
        <v>0</v>
      </c>
      <c r="G21" t="s">
        <v>106</v>
      </c>
    </row>
    <row r="22" spans="1:7" x14ac:dyDescent="0.25">
      <c r="A22" t="s">
        <v>19</v>
      </c>
      <c r="B22" t="s">
        <v>105</v>
      </c>
      <c r="C22">
        <v>177.7</v>
      </c>
      <c r="D22">
        <v>17.77</v>
      </c>
      <c r="E22">
        <v>17.77</v>
      </c>
      <c r="F22" s="29">
        <f>Table5[[#This Row],[Charge_Per_Head]]-Table5[[#This Row],[Paid_Amt]]</f>
        <v>0</v>
      </c>
      <c r="G22" t="s">
        <v>106</v>
      </c>
    </row>
    <row r="23" spans="1:7" x14ac:dyDescent="0.25">
      <c r="A23" t="s">
        <v>21</v>
      </c>
      <c r="B23" t="s">
        <v>105</v>
      </c>
      <c r="C23">
        <v>177.7</v>
      </c>
      <c r="D23">
        <v>17.77</v>
      </c>
      <c r="E23">
        <v>17.77</v>
      </c>
      <c r="F23" s="29">
        <f>Table5[[#This Row],[Charge_Per_Head]]-Table5[[#This Row],[Paid_Amt]]</f>
        <v>0</v>
      </c>
      <c r="G23" t="s">
        <v>106</v>
      </c>
    </row>
    <row r="24" spans="1:7" x14ac:dyDescent="0.25">
      <c r="A24" t="s">
        <v>50</v>
      </c>
      <c r="B24" t="s">
        <v>105</v>
      </c>
      <c r="C24">
        <v>177.7</v>
      </c>
      <c r="D24">
        <v>17.77</v>
      </c>
      <c r="E24">
        <v>17.77</v>
      </c>
      <c r="F24" s="29">
        <f>Table5[[#This Row],[Charge_Per_Head]]-Table5[[#This Row],[Paid_Amt]]</f>
        <v>0</v>
      </c>
      <c r="G24" t="s">
        <v>106</v>
      </c>
    </row>
    <row r="25" spans="1:7" x14ac:dyDescent="0.25">
      <c r="A25" t="s">
        <v>59</v>
      </c>
      <c r="B25" t="s">
        <v>105</v>
      </c>
      <c r="C25">
        <v>177.7</v>
      </c>
      <c r="D25">
        <v>17.77</v>
      </c>
      <c r="E25">
        <v>17.77</v>
      </c>
      <c r="F25" s="29">
        <f>Table5[[#This Row],[Charge_Per_Head]]-Table5[[#This Row],[Paid_Amt]]</f>
        <v>0</v>
      </c>
      <c r="G25" t="s">
        <v>106</v>
      </c>
    </row>
    <row r="26" spans="1:7" x14ac:dyDescent="0.25">
      <c r="A26" t="s">
        <v>80</v>
      </c>
      <c r="B26" t="s">
        <v>105</v>
      </c>
      <c r="C26">
        <v>177.7</v>
      </c>
      <c r="D26">
        <v>17.77</v>
      </c>
      <c r="E26">
        <v>0</v>
      </c>
      <c r="F26" s="29">
        <f>Table5[[#This Row],[Charge_Per_Head]]-Table5[[#This Row],[Paid_Amt]]</f>
        <v>17.77</v>
      </c>
      <c r="G26" t="s">
        <v>106</v>
      </c>
    </row>
    <row r="27" spans="1:7" x14ac:dyDescent="0.25">
      <c r="A27" t="s">
        <v>110</v>
      </c>
      <c r="B27" t="s">
        <v>105</v>
      </c>
      <c r="C27">
        <v>177.7</v>
      </c>
      <c r="D27">
        <v>17.77</v>
      </c>
      <c r="E27">
        <v>0</v>
      </c>
      <c r="F27" s="29">
        <f>Table5[[#This Row],[Charge_Per_Head]]-Table5[[#This Row],[Paid_Amt]]</f>
        <v>17.77</v>
      </c>
      <c r="G27" t="s">
        <v>106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97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20" sqref="C20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style="3" bestFit="1" customWidth="1"/>
    <col min="6" max="6" width="37.42578125" bestFit="1" customWidth="1"/>
  </cols>
  <sheetData>
    <row r="1" spans="1:6" x14ac:dyDescent="0.25">
      <c r="A1" t="s">
        <v>0</v>
      </c>
      <c r="B1" t="s">
        <v>89</v>
      </c>
      <c r="C1" t="s">
        <v>92</v>
      </c>
      <c r="D1" s="3" t="s">
        <v>90</v>
      </c>
      <c r="E1" s="3" t="s">
        <v>94</v>
      </c>
      <c r="F1" t="s">
        <v>95</v>
      </c>
    </row>
    <row r="2" spans="1:6" x14ac:dyDescent="0.25">
      <c r="A2" t="s">
        <v>80</v>
      </c>
      <c r="B2">
        <v>500</v>
      </c>
      <c r="C2" t="s">
        <v>93</v>
      </c>
      <c r="D2" s="3">
        <f>SUMIFS(Daily_Report!E:E,Daily_Report!H:H,Re_Investment_Details!C:C)</f>
        <v>314.90939480257379</v>
      </c>
      <c r="E2" s="3">
        <f>Table6[[#This Row],[Requested_Amount]]-Table6[[#This Row],[Total_Added_Amount]]</f>
        <v>185.09060519742621</v>
      </c>
      <c r="F2" t="s">
        <v>96</v>
      </c>
    </row>
    <row r="3" spans="1:6" x14ac:dyDescent="0.25">
      <c r="A3" t="s">
        <v>12</v>
      </c>
      <c r="B3">
        <v>300</v>
      </c>
      <c r="C3" t="s">
        <v>109</v>
      </c>
      <c r="D3" s="3">
        <f>SUMIFS(Daily_Report!E:E,Daily_Report!H:H,Re_Investment_Details!C:C)</f>
        <v>174.80345077101521</v>
      </c>
      <c r="E3" s="3">
        <f>Table6[[#This Row],[Requested_Amount]]-Table6[[#This Row],[Total_Added_Amount]]</f>
        <v>125.19654922898479</v>
      </c>
      <c r="F3" t="s">
        <v>96</v>
      </c>
    </row>
    <row r="4" spans="1:6" x14ac:dyDescent="0.25">
      <c r="E4" s="3">
        <f>Table6[[#This Row],[Requested_Amount]]-Table6[[#This Row],[Total_Added_Amount]]</f>
        <v>0</v>
      </c>
    </row>
    <row r="5" spans="1:6" x14ac:dyDescent="0.25">
      <c r="E5" s="3">
        <f>Table6[[#This Row],[Requested_Amount]]-Table6[[#This Row],[Total_Added_Amount]]</f>
        <v>0</v>
      </c>
    </row>
    <row r="6" spans="1:6" x14ac:dyDescent="0.25">
      <c r="E6" s="3">
        <f>Table6[[#This Row],[Requested_Amount]]-Table6[[#This Row],[Total_Added_Amount]]</f>
        <v>0</v>
      </c>
    </row>
    <row r="7" spans="1:6" x14ac:dyDescent="0.25">
      <c r="E7" s="3">
        <f>Table6[[#This Row],[Requested_Amount]]-Table6[[#This Row],[Total_Added_Amount]]</f>
        <v>0</v>
      </c>
    </row>
    <row r="8" spans="1:6" x14ac:dyDescent="0.25">
      <c r="E8" s="3">
        <f>Table6[[#This Row],[Requested_Amount]]-Table6[[#This Row],[Total_Added_Amount]]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2026-01-07T20:16:42Z</dcterms:modified>
</cp:coreProperties>
</file>