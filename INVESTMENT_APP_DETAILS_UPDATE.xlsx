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1" activeTab="4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N310" i="1" l="1"/>
  <c r="N309" i="1"/>
  <c r="N308" i="1"/>
  <c r="N307" i="1"/>
  <c r="N306" i="1"/>
  <c r="N305" i="1"/>
  <c r="N304" i="1"/>
  <c r="N303" i="1"/>
  <c r="N302" i="1"/>
  <c r="K310" i="1"/>
  <c r="K309" i="1"/>
  <c r="K308" i="1"/>
  <c r="K307" i="1"/>
  <c r="K306" i="1"/>
  <c r="K305" i="1"/>
  <c r="K304" i="1"/>
  <c r="K303" i="1"/>
  <c r="K302" i="1"/>
  <c r="J310" i="1"/>
  <c r="J309" i="1"/>
  <c r="J308" i="1"/>
  <c r="J307" i="1"/>
  <c r="J306" i="1"/>
  <c r="J305" i="1"/>
  <c r="J304" i="1"/>
  <c r="J303" i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<sst xmlns="http://schemas.openxmlformats.org/spreadsheetml/2006/main" count="1536" uniqueCount="105">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</sst>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3"/>
    <tableColumn id="13" name="UserID" dataDxfId="43" totalsRowDxfId="12"/>
    <tableColumn id="8" name="Name" dataDxfId="42" totalsRowDxfId="11"/>
    <tableColumn id="15" name="User_Invested_Amount" dataDxfId="41" totalsRowDxfId="10"/>
    <tableColumn id="17" name="Transaction_ID" dataDxfId="40" totalsRowDxfId="9"/>
    <tableColumn id="16" name="Transaction_Date" dataDxfId="39" totalsRowDxfId="8"/>
    <tableColumn id="3" name="User_Invest_Amount_As_On_Date" dataDxfId="38" totalsRowDxfId="7"/>
    <tableColumn id="6" name="Company_Total_Investment_As_On_Date" dataDxfId="37" totalsRowDxfId="6"/>
    <tableColumn id="10" name="Total_Profit" dataDxfId="36" totalsRowDxfId="5"/>
    <tableColumn id="11" name="Profit_%" dataDxfId="35" totalsRowDxfId="4"/>
    <tableColumn id="7" name="Profit_Without_Tax" dataDxfId="34" totalsRowDxfId="3"/>
    <tableColumn id="4" name="Payment_Status" dataDxfId="33" totalsRowDxfId="2"/>
    <tableColumn id="1" name="Tax_Deduction_%" dataDxfId="16" totalsRowDxfId="1"/>
    <tableColumn id="2" name="Profit_With_Tax" dataDxfId="15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17" totalsRowShown="0">
  <autoFilter ref="A1:G1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4">
      <calculatedColumnFormula>SUMIFS(Daily_Report!E:E,Daily_Report!H:H,Re_Investment_Details!C:C)</calculatedColumnFormula>
    </tableColumn>
    <tableColumn id="5" name="Pending_Amount_To_Be_Add" dataDxfId="17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288" workbookViewId="0">
      <selection activeCell="K307" sqref="K307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99</v>
      </c>
      <c r="L1" s="1" t="s">
        <v>16</v>
      </c>
      <c r="M1" s="1" t="s">
        <v>100</v>
      </c>
      <c r="N1" s="2" t="s">
        <v>101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85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83</v>
      </c>
      <c r="D280" s="14">
        <v>1000</v>
      </c>
      <c r="E280" s="14" t="s">
        <v>84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92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86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83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92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87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88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83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92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83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92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I312" s="15"/>
      <c r="M312" s="33"/>
    </row>
    <row r="313" spans="1:14" x14ac:dyDescent="0.25">
      <c r="I313" s="15"/>
      <c r="M313" s="33"/>
    </row>
    <row r="314" spans="1:14" x14ac:dyDescent="0.25">
      <c r="I314" s="15"/>
      <c r="M314" s="33"/>
    </row>
    <row r="315" spans="1:14" x14ac:dyDescent="0.25">
      <c r="I315" s="15"/>
      <c r="M315" s="33"/>
    </row>
    <row r="316" spans="1:14" x14ac:dyDescent="0.25">
      <c r="I316" s="15"/>
      <c r="M316" s="33"/>
    </row>
    <row r="317" spans="1:14" x14ac:dyDescent="0.25">
      <c r="I317" s="15"/>
      <c r="M317" s="33"/>
    </row>
    <row r="318" spans="1:14" x14ac:dyDescent="0.25">
      <c r="I318" s="15"/>
      <c r="M318" s="33"/>
    </row>
    <row r="319" spans="1:14" x14ac:dyDescent="0.25">
      <c r="I319" s="15"/>
      <c r="M319" s="33"/>
    </row>
    <row r="320" spans="1:14" x14ac:dyDescent="0.25">
      <c r="I320" s="15"/>
      <c r="M320" s="33"/>
    </row>
    <row r="321" spans="9:13" x14ac:dyDescent="0.25">
      <c r="I321" s="15"/>
      <c r="M321" s="33"/>
    </row>
    <row r="322" spans="9:13" x14ac:dyDescent="0.25">
      <c r="I322" s="15"/>
      <c r="M322" s="33"/>
    </row>
    <row r="323" spans="9:13" x14ac:dyDescent="0.25">
      <c r="I323" s="15"/>
      <c r="M323" s="33"/>
    </row>
    <row r="324" spans="9:13" x14ac:dyDescent="0.25">
      <c r="I324" s="15"/>
      <c r="M324" s="33"/>
    </row>
    <row r="325" spans="9:13" x14ac:dyDescent="0.25">
      <c r="I325" s="15"/>
      <c r="M325" s="33"/>
    </row>
    <row r="326" spans="9:13" x14ac:dyDescent="0.25">
      <c r="I326" s="15"/>
      <c r="M326" s="33"/>
    </row>
    <row r="327" spans="9:13" x14ac:dyDescent="0.25">
      <c r="I327" s="15"/>
      <c r="M327" s="33"/>
    </row>
    <row r="328" spans="9:13" x14ac:dyDescent="0.25">
      <c r="I328" s="15"/>
      <c r="M328" s="33"/>
    </row>
    <row r="329" spans="9:13" x14ac:dyDescent="0.25">
      <c r="I329" s="15"/>
      <c r="M329" s="33"/>
    </row>
    <row r="330" spans="9:13" x14ac:dyDescent="0.25">
      <c r="I330" s="15"/>
      <c r="M330" s="33"/>
    </row>
    <row r="331" spans="9:13" x14ac:dyDescent="0.25">
      <c r="I331" s="15"/>
      <c r="M331" s="33"/>
    </row>
    <row r="332" spans="9:13" x14ac:dyDescent="0.25">
      <c r="I332" s="15"/>
      <c r="M332" s="33"/>
    </row>
    <row r="333" spans="9:13" x14ac:dyDescent="0.25">
      <c r="I333" s="15"/>
      <c r="M333" s="33"/>
    </row>
    <row r="334" spans="9:13" x14ac:dyDescent="0.25">
      <c r="I334" s="15"/>
      <c r="M334" s="33"/>
    </row>
    <row r="335" spans="9:13" x14ac:dyDescent="0.25">
      <c r="I335" s="15"/>
      <c r="M335" s="33"/>
    </row>
    <row r="336" spans="9:13" x14ac:dyDescent="0.25">
      <c r="I336" s="15"/>
      <c r="M336" s="33"/>
    </row>
    <row r="337" spans="9:13" x14ac:dyDescent="0.25">
      <c r="I337" s="15"/>
      <c r="M337" s="33"/>
    </row>
    <row r="338" spans="9:13" x14ac:dyDescent="0.25">
      <c r="I338" s="15"/>
      <c r="M338" s="33"/>
    </row>
    <row r="339" spans="9:13" x14ac:dyDescent="0.25">
      <c r="I339" s="15"/>
      <c r="M339" s="33"/>
    </row>
    <row r="340" spans="9:13" x14ac:dyDescent="0.25">
      <c r="I340" s="15"/>
      <c r="M340" s="33"/>
    </row>
    <row r="341" spans="9:13" x14ac:dyDescent="0.25">
      <c r="I341" s="15"/>
      <c r="M341" s="33"/>
    </row>
    <row r="342" spans="9:13" x14ac:dyDescent="0.25">
      <c r="I342" s="15"/>
      <c r="M342" s="33"/>
    </row>
    <row r="343" spans="9:13" x14ac:dyDescent="0.25">
      <c r="I343" s="15"/>
      <c r="M343" s="33"/>
    </row>
    <row r="344" spans="9:13" x14ac:dyDescent="0.25">
      <c r="I344" s="15"/>
      <c r="M344" s="33"/>
    </row>
    <row r="345" spans="9:13" x14ac:dyDescent="0.25">
      <c r="I345" s="15"/>
      <c r="M345" s="33"/>
    </row>
    <row r="346" spans="9:13" x14ac:dyDescent="0.25">
      <c r="I346" s="15"/>
      <c r="M346" s="33"/>
    </row>
    <row r="347" spans="9:13" x14ac:dyDescent="0.25">
      <c r="I347" s="15"/>
      <c r="M347" s="33"/>
    </row>
    <row r="348" spans="9:13" x14ac:dyDescent="0.25">
      <c r="I348" s="15"/>
      <c r="M348" s="33"/>
    </row>
    <row r="349" spans="9:13" x14ac:dyDescent="0.25">
      <c r="I349" s="15"/>
      <c r="M349" s="33"/>
    </row>
    <row r="350" spans="9:13" x14ac:dyDescent="0.25">
      <c r="I350" s="15"/>
      <c r="M350" s="33"/>
    </row>
    <row r="351" spans="9:13" x14ac:dyDescent="0.25">
      <c r="I351" s="15"/>
      <c r="M351" s="33"/>
    </row>
    <row r="352" spans="9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4" sqref="E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3667.4062837619549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2025.9734411767913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790.39268031688391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2103.5505633437347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1097.3620535362572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2670.1574177916459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2477.2544327170194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1015.8272163585095</v>
      </c>
      <c r="F9" t="s">
        <v>65</v>
      </c>
    </row>
    <row r="10" spans="1:6" x14ac:dyDescent="0.25">
      <c r="A10" t="s">
        <v>80</v>
      </c>
      <c r="B10" t="s">
        <v>83</v>
      </c>
      <c r="C10" t="s">
        <v>82</v>
      </c>
      <c r="D10">
        <v>1000</v>
      </c>
      <c r="E10" s="3">
        <f>SUMIFS(Daily_Report!E:E,Daily_Report!B:B,Table2[[#This Row],[UserID]])</f>
        <v>207.96591099720411</v>
      </c>
      <c r="F10" t="s">
        <v>89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opLeftCell="A271" workbookViewId="0">
      <selection activeCell="F291" sqref="F291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93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92</v>
      </c>
      <c r="G268" s="15">
        <v>880</v>
      </c>
      <c r="H268" s="14" t="s">
        <v>94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92</v>
      </c>
      <c r="G278" s="15">
        <v>787</v>
      </c>
      <c r="H278" s="14" t="s">
        <v>94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</row>
    <row r="288" spans="1:8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92</v>
      </c>
      <c r="G288" s="15">
        <v>932</v>
      </c>
      <c r="H288" s="14" t="s">
        <v>94</v>
      </c>
    </row>
    <row r="289" spans="1:8" x14ac:dyDescent="0.25">
      <c r="D289" s="16"/>
      <c r="G289" s="15"/>
    </row>
    <row r="290" spans="1:8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</row>
    <row r="291" spans="1:8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</row>
    <row r="292" spans="1:8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</row>
    <row r="293" spans="1:8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</row>
    <row r="294" spans="1:8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</row>
    <row r="295" spans="1:8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</row>
    <row r="296" spans="1:8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</row>
    <row r="297" spans="1:8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</row>
    <row r="298" spans="1:8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92</v>
      </c>
      <c r="G298" s="15">
        <v>786</v>
      </c>
      <c r="H298" s="33" t="s">
        <v>94</v>
      </c>
    </row>
    <row r="299" spans="1:8" x14ac:dyDescent="0.25">
      <c r="D299" s="16"/>
      <c r="G299" s="15"/>
    </row>
    <row r="300" spans="1:8" x14ac:dyDescent="0.25">
      <c r="D300" s="16"/>
      <c r="G300" s="15"/>
    </row>
    <row r="301" spans="1:8" x14ac:dyDescent="0.25">
      <c r="D301" s="16"/>
      <c r="G301" s="15"/>
    </row>
    <row r="302" spans="1:8" x14ac:dyDescent="0.25">
      <c r="D302" s="16"/>
      <c r="G302" s="15"/>
    </row>
    <row r="303" spans="1:8" x14ac:dyDescent="0.25">
      <c r="D303" s="16"/>
      <c r="G303" s="15"/>
    </row>
    <row r="304" spans="1:8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workbookViewId="0">
      <selection activeCell="I16" sqref="I16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102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103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103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103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103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103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103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103</v>
      </c>
    </row>
    <row r="9" spans="1:7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104</v>
      </c>
    </row>
    <row r="10" spans="1:7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104</v>
      </c>
    </row>
    <row r="11" spans="1:7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104</v>
      </c>
    </row>
    <row r="12" spans="1:7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104</v>
      </c>
    </row>
    <row r="13" spans="1:7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104</v>
      </c>
    </row>
    <row r="14" spans="1:7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104</v>
      </c>
    </row>
    <row r="15" spans="1:7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104</v>
      </c>
    </row>
    <row r="16" spans="1:7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104</v>
      </c>
    </row>
    <row r="17" spans="1:7" x14ac:dyDescent="0.25">
      <c r="A17" t="s">
        <v>80</v>
      </c>
      <c r="B17" t="s">
        <v>81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98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D23" sqref="D23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90</v>
      </c>
      <c r="C1" t="s">
        <v>93</v>
      </c>
      <c r="D1" s="3" t="s">
        <v>91</v>
      </c>
      <c r="E1" t="s">
        <v>95</v>
      </c>
      <c r="F1" t="s">
        <v>96</v>
      </c>
    </row>
    <row r="2" spans="1:6" x14ac:dyDescent="0.25">
      <c r="A2" t="s">
        <v>80</v>
      </c>
      <c r="B2">
        <v>500</v>
      </c>
      <c r="C2" t="s">
        <v>94</v>
      </c>
      <c r="D2" s="3">
        <f>SUMIFS(Daily_Report!E:E,Daily_Report!H:H,Re_Investment_Details!C:C)</f>
        <v>207.96591099720411</v>
      </c>
      <c r="E2">
        <f>Table6[[#This Row],[Requested_Amount]]-Table6[[#This Row],[Total_Added_Amount]]</f>
        <v>292.03408900279589</v>
      </c>
      <c r="F2" t="s">
        <v>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2026-01-04T04:55:33Z</dcterms:modified>
</cp:coreProperties>
</file>