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K300" i="1" l="1"/>
  <c r="K299" i="1"/>
  <c r="K298" i="1"/>
  <c r="K297" i="1"/>
  <c r="K296" i="1"/>
  <c r="K295" i="1"/>
  <c r="K294" i="1"/>
  <c r="K293" i="1"/>
  <c r="K292" i="1"/>
  <c r="K282" i="1"/>
  <c r="J300" i="1"/>
  <c r="J299" i="1"/>
  <c r="J298" i="1"/>
  <c r="J297" i="1"/>
  <c r="J296" i="1"/>
  <c r="J295" i="1"/>
  <c r="J294" i="1"/>
  <c r="J293" i="1"/>
  <c r="J292" i="1"/>
  <c r="D2" i="8"/>
  <c r="E2" i="8" s="1"/>
  <c r="K287" i="1" l="1"/>
  <c r="K285" i="1"/>
  <c r="K283" i="1"/>
  <c r="J290" i="1"/>
  <c r="K290" i="1" s="1"/>
  <c r="J289" i="1"/>
  <c r="K289" i="1" s="1"/>
  <c r="J288" i="1"/>
  <c r="K288" i="1" s="1"/>
  <c r="J287" i="1"/>
  <c r="J286" i="1"/>
  <c r="K286" i="1" s="1"/>
  <c r="J285" i="1"/>
  <c r="J284" i="1"/>
  <c r="K284" i="1" s="1"/>
  <c r="J283" i="1"/>
  <c r="J282" i="1"/>
  <c r="J273" i="1" l="1"/>
  <c r="J274" i="1"/>
  <c r="J275" i="1"/>
  <c r="J276" i="1"/>
  <c r="J277" i="1"/>
  <c r="J278" i="1"/>
  <c r="J279" i="1"/>
  <c r="J280" i="1"/>
  <c r="K273" i="1"/>
  <c r="K274" i="1"/>
  <c r="K275" i="1"/>
  <c r="K276" i="1"/>
  <c r="K277" i="1"/>
  <c r="K278" i="1"/>
  <c r="K279" i="1"/>
  <c r="K280" i="1"/>
  <c r="J272" i="1"/>
  <c r="K272" i="1" s="1"/>
  <c r="J270" i="1" l="1"/>
  <c r="K270" i="1" s="1"/>
  <c r="J269" i="1"/>
  <c r="K269" i="1" s="1"/>
  <c r="J268" i="1"/>
  <c r="K268" i="1" s="1"/>
  <c r="J267" i="1"/>
  <c r="K267" i="1" s="1"/>
  <c r="J266" i="1"/>
  <c r="K266" i="1" s="1"/>
  <c r="J265" i="1"/>
  <c r="K265" i="1" s="1"/>
  <c r="J264" i="1"/>
  <c r="K264" i="1" s="1"/>
  <c r="J263" i="1"/>
  <c r="K263" i="1" s="1"/>
  <c r="E10" i="2"/>
  <c r="F17" i="7"/>
  <c r="L14" i="6"/>
  <c r="L13" i="6"/>
  <c r="R17" i="6"/>
  <c r="J261" i="1" l="1"/>
  <c r="K261" i="1" s="1"/>
  <c r="J260" i="1"/>
  <c r="K260" i="1" s="1"/>
  <c r="J259" i="1"/>
  <c r="K259" i="1" s="1"/>
  <c r="J258" i="1"/>
  <c r="K258" i="1" s="1"/>
  <c r="J257" i="1"/>
  <c r="K257" i="1" s="1"/>
  <c r="J256" i="1"/>
  <c r="K256" i="1" s="1"/>
  <c r="J255" i="1"/>
  <c r="K255" i="1" s="1"/>
  <c r="J254" i="1"/>
  <c r="K254" i="1" s="1"/>
  <c r="J252" i="1" l="1"/>
  <c r="K252" i="1" s="1"/>
  <c r="J251" i="1"/>
  <c r="K251" i="1" s="1"/>
  <c r="J250" i="1"/>
  <c r="K250" i="1" s="1"/>
  <c r="J249" i="1"/>
  <c r="K249" i="1" s="1"/>
  <c r="J248" i="1"/>
  <c r="K248" i="1" s="1"/>
  <c r="J247" i="1"/>
  <c r="K247" i="1" s="1"/>
  <c r="J246" i="1"/>
  <c r="K246" i="1" s="1"/>
  <c r="J245" i="1"/>
  <c r="K245" i="1" s="1"/>
  <c r="J243" i="1" l="1"/>
  <c r="K243" i="1" s="1"/>
  <c r="J242" i="1"/>
  <c r="K242" i="1" s="1"/>
  <c r="J241" i="1"/>
  <c r="K241" i="1" s="1"/>
  <c r="J240" i="1"/>
  <c r="K240" i="1" s="1"/>
  <c r="J239" i="1"/>
  <c r="K239" i="1" s="1"/>
  <c r="J238" i="1"/>
  <c r="K238" i="1" s="1"/>
  <c r="J237" i="1"/>
  <c r="K237" i="1" s="1"/>
  <c r="J236" i="1"/>
  <c r="K236" i="1" s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J207" i="1" l="1"/>
  <c r="K207" i="1" s="1"/>
  <c r="J206" i="1"/>
  <c r="K206" i="1" s="1"/>
  <c r="J205" i="1"/>
  <c r="K205" i="1" s="1"/>
  <c r="J204" i="1"/>
  <c r="K204" i="1" s="1"/>
  <c r="J203" i="1"/>
  <c r="K203" i="1" s="1"/>
  <c r="J202" i="1"/>
  <c r="K202" i="1" s="1"/>
  <c r="J201" i="1"/>
  <c r="K201" i="1" s="1"/>
  <c r="J200" i="1"/>
  <c r="K200" i="1" s="1"/>
  <c r="J198" i="1" l="1"/>
  <c r="K198" i="1" s="1"/>
  <c r="J197" i="1"/>
  <c r="K197" i="1" s="1"/>
  <c r="J196" i="1"/>
  <c r="K196" i="1" s="1"/>
  <c r="J195" i="1"/>
  <c r="K195" i="1" s="1"/>
  <c r="J194" i="1"/>
  <c r="K194" i="1" s="1"/>
  <c r="J193" i="1"/>
  <c r="K193" i="1" s="1"/>
  <c r="J192" i="1"/>
  <c r="K192" i="1" s="1"/>
  <c r="J191" i="1"/>
  <c r="K191" i="1" s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 s="1"/>
  <c r="J158" i="1"/>
  <c r="K158" i="1" s="1"/>
  <c r="J159" i="1"/>
  <c r="K159" i="1" s="1"/>
  <c r="J160" i="1"/>
  <c r="K160" i="1" s="1"/>
  <c r="J161" i="1"/>
  <c r="K161" i="1" s="1"/>
  <c r="J162" i="1"/>
  <c r="K162" i="1" s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28" i="1"/>
  <c r="K128" i="1" s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J119" i="1"/>
  <c r="K119" i="1" s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<sst xmlns="http://schemas.openxmlformats.org/spreadsheetml/2006/main" count="1473" uniqueCount="101">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</sst>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4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M5641" totalsRowCount="1" headerRowDxfId="45" dataDxfId="44" totalsRowDxfId="43">
  <autoFilter ref="A1:M5640"/>
  <tableColumns count="13">
    <tableColumn id="9" name="Date" dataDxfId="42" totalsRowDxfId="12"/>
    <tableColumn id="13" name="UserID" dataDxfId="41" totalsRowDxfId="11"/>
    <tableColumn id="8" name="Name" dataDxfId="40" totalsRowDxfId="10"/>
    <tableColumn id="15" name="User_Invested_Amount" dataDxfId="39" totalsRowDxfId="9"/>
    <tableColumn id="17" name="Transaction_ID" dataDxfId="38" totalsRowDxfId="8"/>
    <tableColumn id="16" name="Transaction_Date" dataDxfId="37" totalsRowDxfId="7"/>
    <tableColumn id="3" name="User_Invest_Amount_As_On_Date" dataDxfId="36" totalsRowDxfId="6"/>
    <tableColumn id="6" name="Company_Total_Investment_As_On_Date" dataDxfId="35" totalsRowDxfId="5"/>
    <tableColumn id="10" name="Total_Profit" dataDxfId="34" totalsRowDxfId="4"/>
    <tableColumn id="11" name="Profit_%" dataDxfId="33" totalsRowDxfId="3"/>
    <tableColumn id="7" name="Profit" dataDxfId="32" totalsRowDxfId="2"/>
    <tableColumn id="4" name="Payment_Status" dataDxfId="31" totalsRowDxfId="1"/>
    <tableColumn id="1" name="Tax" dataDxfId="13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30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H602" totalsRowShown="0" headerRowDxfId="29" dataDxfId="27" headerRowBorderDxfId="28" tableBorderDxfId="26" totalsRowBorderDxfId="25">
  <autoFilter ref="A1:H602"/>
  <tableColumns count="8">
    <tableColumn id="1" name="Date" dataDxfId="24"/>
    <tableColumn id="2" name="UserID" dataDxfId="23"/>
    <tableColumn id="3" name="Invest_Amount" dataDxfId="22"/>
    <tableColumn id="6" name="Company_Total_Invest" dataDxfId="21"/>
    <tableColumn id="4" name="Profit" dataDxfId="20"/>
    <tableColumn id="5" name="Payment" dataDxfId="19"/>
    <tableColumn id="7" name="Total_Profit" dataDxfId="18"/>
    <tableColumn id="8" name="Re-Invest_ID" dataDxfId="1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7" totalsRowShown="0">
  <autoFilter ref="A1:F17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7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5">
      <calculatedColumnFormula>SUMIFS(Daily_Report!E:E,Daily_Report!H:H,Re_Investment_Details!C:C)</calculatedColumnFormula>
    </tableColumn>
    <tableColumn id="5" name="Pending_Amount_To_Be_Add" dataDxfId="14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6" Type="http://schemas.openxmlformats.org/officeDocument/2006/relationships/table" Target="../tables/table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7205160299@yb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641"/>
  <sheetViews>
    <sheetView topLeftCell="D274" workbookViewId="0">
      <selection activeCell="J301" sqref="J301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3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  <c r="M1" s="1" t="s">
        <v>100</v>
      </c>
    </row>
    <row r="2" spans="1:13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3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3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3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3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3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3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3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3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3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3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3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3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3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3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</row>
    <row r="244" spans="1:12" x14ac:dyDescent="0.25">
      <c r="I244" s="15"/>
    </row>
    <row r="245" spans="1:12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</row>
    <row r="246" spans="1:12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</row>
    <row r="247" spans="1:12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</row>
    <row r="248" spans="1:12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</row>
    <row r="249" spans="1:12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</row>
    <row r="250" spans="1:12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</row>
    <row r="251" spans="1:12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</row>
    <row r="252" spans="1:12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</row>
    <row r="253" spans="1:12" x14ac:dyDescent="0.25">
      <c r="I253" s="15"/>
    </row>
    <row r="254" spans="1:12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80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</row>
    <row r="255" spans="1:12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</row>
    <row r="256" spans="1:12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</row>
    <row r="257" spans="1:12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</row>
    <row r="258" spans="1:12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</row>
    <row r="259" spans="1:12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</row>
    <row r="260" spans="1:12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</row>
    <row r="261" spans="1:12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</row>
    <row r="262" spans="1:12" x14ac:dyDescent="0.25">
      <c r="I262" s="15"/>
    </row>
    <row r="263" spans="1:12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</row>
    <row r="264" spans="1:12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</row>
    <row r="265" spans="1:12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</row>
    <row r="266" spans="1:12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</row>
    <row r="267" spans="1:12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</row>
    <row r="268" spans="1:12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</row>
    <row r="269" spans="1:12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</row>
    <row r="270" spans="1:12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</row>
    <row r="271" spans="1:12" x14ac:dyDescent="0.25">
      <c r="I271" s="15"/>
    </row>
    <row r="272" spans="1:12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</row>
    <row r="273" spans="1:13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</row>
    <row r="274" spans="1:13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86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</row>
    <row r="275" spans="1:13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</row>
    <row r="276" spans="1:13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</row>
    <row r="277" spans="1:13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</row>
    <row r="278" spans="1:13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</row>
    <row r="279" spans="1:13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</row>
    <row r="280" spans="1:13" x14ac:dyDescent="0.25">
      <c r="A280" s="28">
        <v>46022</v>
      </c>
      <c r="B280" s="14" t="s">
        <v>81</v>
      </c>
      <c r="C280" s="14" t="s">
        <v>84</v>
      </c>
      <c r="D280" s="14">
        <v>1000</v>
      </c>
      <c r="E280" s="14" t="s">
        <v>85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93</v>
      </c>
    </row>
    <row r="281" spans="1:13" x14ac:dyDescent="0.25">
      <c r="I281" s="15"/>
    </row>
    <row r="282" spans="1:13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87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14">
        <v>6.0999999999999999E-2</v>
      </c>
    </row>
    <row r="283" spans="1:13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14">
        <v>6.0999999999999999E-2</v>
      </c>
    </row>
    <row r="284" spans="1:13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14">
        <v>6.0999999999999999E-2</v>
      </c>
    </row>
    <row r="285" spans="1:13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14">
        <v>6.0999999999999999E-2</v>
      </c>
    </row>
    <row r="286" spans="1:13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14">
        <v>6.0999999999999999E-2</v>
      </c>
    </row>
    <row r="287" spans="1:13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14">
        <v>6.0999999999999999E-2</v>
      </c>
    </row>
    <row r="288" spans="1:13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14">
        <v>6.0999999999999999E-2</v>
      </c>
    </row>
    <row r="289" spans="1:13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14">
        <v>6.0999999999999999E-2</v>
      </c>
    </row>
    <row r="290" spans="1:13" x14ac:dyDescent="0.25">
      <c r="A290" s="28">
        <v>46023</v>
      </c>
      <c r="B290" s="14" t="s">
        <v>81</v>
      </c>
      <c r="C290" s="14" t="s">
        <v>84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93</v>
      </c>
      <c r="M290" s="14">
        <v>6.0999999999999999E-2</v>
      </c>
    </row>
    <row r="291" spans="1:13" x14ac:dyDescent="0.25">
      <c r="I291" s="15"/>
    </row>
    <row r="292" spans="1:13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79</v>
      </c>
    </row>
    <row r="293" spans="1:13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88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14" t="s">
        <v>79</v>
      </c>
    </row>
    <row r="294" spans="1:13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14" t="s">
        <v>79</v>
      </c>
    </row>
    <row r="295" spans="1:13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89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14" t="s">
        <v>79</v>
      </c>
    </row>
    <row r="296" spans="1:13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14" t="s">
        <v>79</v>
      </c>
    </row>
    <row r="297" spans="1:13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14" t="s">
        <v>79</v>
      </c>
    </row>
    <row r="298" spans="1:13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14" t="s">
        <v>79</v>
      </c>
    </row>
    <row r="299" spans="1:13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14" t="s">
        <v>79</v>
      </c>
    </row>
    <row r="300" spans="1:13" x14ac:dyDescent="0.25">
      <c r="A300" s="28">
        <v>46024</v>
      </c>
      <c r="B300" s="14" t="s">
        <v>81</v>
      </c>
      <c r="C300" s="14" t="s">
        <v>84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14" t="s">
        <v>79</v>
      </c>
    </row>
    <row r="301" spans="1:13" x14ac:dyDescent="0.25">
      <c r="I301" s="15"/>
    </row>
    <row r="302" spans="1:13" x14ac:dyDescent="0.25">
      <c r="I302" s="15"/>
    </row>
    <row r="303" spans="1:13" x14ac:dyDescent="0.25">
      <c r="I303" s="15"/>
    </row>
    <row r="304" spans="1:13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9" sqref="E9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3800</v>
      </c>
      <c r="E2" s="3">
        <f>SUMIFS(Daily_Report!E:E,Daily_Report!B:B,Table2[[#This Row],[UserID]])</f>
        <v>3530.081665402216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1700</v>
      </c>
      <c r="E3" s="3">
        <f>SUMIFS(Daily_Report!E:E,Daily_Report!B:B,Table2[[#This Row],[UserID]])</f>
        <v>1963.6610709531196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1000</v>
      </c>
      <c r="E4" s="3">
        <f>SUMIFS(Daily_Report!E:E,Daily_Report!B:B,Table2[[#This Row],[UserID]])</f>
        <v>754.54210016776938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2500</v>
      </c>
      <c r="E5" s="3">
        <f>SUMIFS(Daily_Report!E:E,Daily_Report!B:B,Table2[[#This Row],[UserID]])</f>
        <v>2007.0921931200626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1061.5114733871426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2598.4562574934162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2405.5532724187897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979.97663620939488</v>
      </c>
      <c r="F9" t="s">
        <v>65</v>
      </c>
    </row>
    <row r="10" spans="1:6" x14ac:dyDescent="0.25">
      <c r="A10" t="s">
        <v>81</v>
      </c>
      <c r="B10" t="s">
        <v>84</v>
      </c>
      <c r="C10" t="s">
        <v>83</v>
      </c>
      <c r="D10">
        <v>1000</v>
      </c>
      <c r="E10" s="3">
        <f>SUMIFS(Daily_Report!E:E,Daily_Report!B:B,Table2[[#This Row],[UserID]])</f>
        <v>172.11533084808946</v>
      </c>
      <c r="F10" t="s">
        <v>90</v>
      </c>
    </row>
  </sheetData>
  <hyperlinks>
    <hyperlink ref="F6" r:id="rId1"/>
    <hyperlink ref="F8" r:id="rId2"/>
    <hyperlink ref="F9" r:id="rId3"/>
    <hyperlink ref="F10" r:id="rId4"/>
  </hyperlinks>
  <pageMargins left="0.7" right="0.7" top="0.75" bottom="0.75" header="0.3" footer="0.3"/>
  <pageSetup orientation="portrait"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2"/>
  <sheetViews>
    <sheetView tabSelected="1" workbookViewId="0">
      <selection activeCell="H9" sqref="H9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8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94</v>
      </c>
    </row>
    <row r="2" spans="1:8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8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8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8" x14ac:dyDescent="0.25">
      <c r="D5" s="16"/>
      <c r="G5" s="15"/>
    </row>
    <row r="6" spans="1:8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8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8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8" x14ac:dyDescent="0.25">
      <c r="D9" s="16"/>
      <c r="G9" s="15"/>
    </row>
    <row r="10" spans="1:8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8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8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8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8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8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8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8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8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8" x14ac:dyDescent="0.25">
      <c r="D259" s="16"/>
      <c r="G259" s="15"/>
    </row>
    <row r="260" spans="1:8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212.41379310344828</v>
      </c>
      <c r="F260" s="14" t="s">
        <v>39</v>
      </c>
      <c r="G260" s="15">
        <v>880</v>
      </c>
    </row>
    <row r="261" spans="1:8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91.034482758620683</v>
      </c>
      <c r="F261" s="14" t="s">
        <v>39</v>
      </c>
      <c r="G261" s="15">
        <v>880</v>
      </c>
    </row>
    <row r="262" spans="1:8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60.689655172413794</v>
      </c>
      <c r="F262" s="14" t="s">
        <v>39</v>
      </c>
      <c r="G262" s="15">
        <v>880</v>
      </c>
    </row>
    <row r="263" spans="1:8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91.034482758620683</v>
      </c>
      <c r="F263" s="14" t="s">
        <v>39</v>
      </c>
      <c r="G263" s="15">
        <v>880</v>
      </c>
    </row>
    <row r="264" spans="1:8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60.689655172413794</v>
      </c>
      <c r="F264" s="14" t="s">
        <v>39</v>
      </c>
      <c r="G264" s="15">
        <v>880</v>
      </c>
    </row>
    <row r="265" spans="1:8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121.37931034482759</v>
      </c>
      <c r="F265" s="14" t="s">
        <v>39</v>
      </c>
      <c r="G265" s="15">
        <v>880</v>
      </c>
    </row>
    <row r="266" spans="1:8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121.37931034482759</v>
      </c>
      <c r="F266" s="14" t="s">
        <v>39</v>
      </c>
      <c r="G266" s="15">
        <v>880</v>
      </c>
    </row>
    <row r="267" spans="1:8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60.689655172413794</v>
      </c>
      <c r="F267" s="14" t="s">
        <v>39</v>
      </c>
      <c r="G267" s="15">
        <v>880</v>
      </c>
    </row>
    <row r="268" spans="1:8" x14ac:dyDescent="0.25">
      <c r="A268" s="28">
        <v>46022</v>
      </c>
      <c r="B268" s="14" t="s">
        <v>81</v>
      </c>
      <c r="C268" s="14">
        <v>1000</v>
      </c>
      <c r="D268" s="16">
        <v>14500</v>
      </c>
      <c r="E268" s="15">
        <v>60.689655172413794</v>
      </c>
      <c r="F268" s="14" t="s">
        <v>93</v>
      </c>
      <c r="G268" s="15">
        <v>880</v>
      </c>
      <c r="H268" s="14" t="s">
        <v>95</v>
      </c>
    </row>
    <row r="269" spans="1:8" x14ac:dyDescent="0.25">
      <c r="D269" s="16"/>
      <c r="G269" s="15"/>
    </row>
    <row r="270" spans="1:8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202.06756756756755</v>
      </c>
      <c r="F270" s="14" t="s">
        <v>39</v>
      </c>
      <c r="G270" s="15">
        <v>787</v>
      </c>
    </row>
    <row r="271" spans="1:8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79.763513513513516</v>
      </c>
      <c r="F271" s="14" t="s">
        <v>39</v>
      </c>
      <c r="G271" s="15">
        <v>787</v>
      </c>
    </row>
    <row r="272" spans="1:8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53.175675675675677</v>
      </c>
      <c r="F272" s="14" t="s">
        <v>39</v>
      </c>
      <c r="G272" s="15">
        <v>787</v>
      </c>
    </row>
    <row r="273" spans="1:8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79.763513513513516</v>
      </c>
      <c r="F273" s="14" t="s">
        <v>39</v>
      </c>
      <c r="G273" s="15">
        <v>787</v>
      </c>
    </row>
    <row r="274" spans="1:8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53.175675675675677</v>
      </c>
      <c r="F274" s="14" t="s">
        <v>39</v>
      </c>
      <c r="G274" s="15">
        <v>787</v>
      </c>
    </row>
    <row r="275" spans="1:8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106.35135135135135</v>
      </c>
      <c r="F275" s="14" t="s">
        <v>39</v>
      </c>
      <c r="G275" s="15">
        <v>787</v>
      </c>
    </row>
    <row r="276" spans="1:8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106.35135135135135</v>
      </c>
      <c r="F276" s="14" t="s">
        <v>39</v>
      </c>
      <c r="G276" s="15">
        <v>787</v>
      </c>
    </row>
    <row r="277" spans="1:8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53.175675675675677</v>
      </c>
      <c r="F277" s="14" t="s">
        <v>39</v>
      </c>
      <c r="G277" s="15">
        <v>787</v>
      </c>
    </row>
    <row r="278" spans="1:8" x14ac:dyDescent="0.25">
      <c r="A278" s="28">
        <v>46023</v>
      </c>
      <c r="B278" s="14" t="s">
        <v>81</v>
      </c>
      <c r="C278" s="14">
        <v>1000</v>
      </c>
      <c r="D278" s="16">
        <v>14800</v>
      </c>
      <c r="E278" s="15">
        <v>53.175675675675677</v>
      </c>
      <c r="F278" s="14" t="s">
        <v>93</v>
      </c>
      <c r="G278" s="15">
        <v>787</v>
      </c>
      <c r="H278" s="14" t="s">
        <v>95</v>
      </c>
    </row>
    <row r="279" spans="1:8" x14ac:dyDescent="0.25">
      <c r="D279" s="16"/>
      <c r="G279" s="15"/>
    </row>
    <row r="280" spans="1:8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221.35</v>
      </c>
      <c r="F280" s="14" t="s">
        <v>79</v>
      </c>
      <c r="G280" s="15">
        <v>932</v>
      </c>
    </row>
    <row r="281" spans="1:8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99.024999999999991</v>
      </c>
      <c r="F281" s="14" t="s">
        <v>79</v>
      </c>
      <c r="G281" s="15">
        <v>932</v>
      </c>
    </row>
    <row r="282" spans="1:8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58.25</v>
      </c>
      <c r="F282" s="14" t="s">
        <v>79</v>
      </c>
      <c r="G282" s="15">
        <v>932</v>
      </c>
    </row>
    <row r="283" spans="1:8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145.625</v>
      </c>
      <c r="F283" s="14" t="s">
        <v>79</v>
      </c>
      <c r="G283" s="15">
        <v>932</v>
      </c>
    </row>
    <row r="284" spans="1:8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58.25</v>
      </c>
      <c r="F284" s="14" t="s">
        <v>79</v>
      </c>
      <c r="G284" s="15">
        <v>932</v>
      </c>
    </row>
    <row r="285" spans="1:8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116.5</v>
      </c>
      <c r="F285" s="14" t="s">
        <v>79</v>
      </c>
      <c r="G285" s="15">
        <v>932</v>
      </c>
    </row>
    <row r="286" spans="1:8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116.5</v>
      </c>
      <c r="F286" s="14" t="s">
        <v>79</v>
      </c>
      <c r="G286" s="15">
        <v>932</v>
      </c>
    </row>
    <row r="287" spans="1:8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58.25</v>
      </c>
      <c r="F287" s="14" t="s">
        <v>79</v>
      </c>
      <c r="G287" s="15">
        <v>932</v>
      </c>
    </row>
    <row r="288" spans="1:8" x14ac:dyDescent="0.25">
      <c r="A288" s="28">
        <v>46024</v>
      </c>
      <c r="B288" s="14" t="s">
        <v>81</v>
      </c>
      <c r="C288" s="14">
        <v>1000</v>
      </c>
      <c r="D288" s="14">
        <v>16000</v>
      </c>
      <c r="E288" s="15">
        <v>58.25</v>
      </c>
      <c r="F288" s="14" t="s">
        <v>93</v>
      </c>
      <c r="G288" s="15">
        <v>932</v>
      </c>
      <c r="H288" s="14" t="s">
        <v>95</v>
      </c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17" sqref="F17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  <row r="17" spans="1:6" x14ac:dyDescent="0.25">
      <c r="A17" t="s">
        <v>81</v>
      </c>
      <c r="B17" t="s">
        <v>82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G27" sqref="G27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3" t="s">
        <v>99</v>
      </c>
      <c r="G24" s="33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F26" t="s">
        <v>14</v>
      </c>
      <c r="G26">
        <v>6.83</v>
      </c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F1" sqref="F1"/>
    </sheetView>
  </sheetViews>
  <sheetFormatPr defaultRowHeight="15" x14ac:dyDescent="0.25"/>
  <cols>
    <col min="2" max="3" width="20.85546875" customWidth="1"/>
    <col min="4" max="4" width="17.140625" customWidth="1"/>
    <col min="5" max="5" width="30.28515625" bestFit="1" customWidth="1"/>
    <col min="6" max="6" width="37.42578125" bestFit="1" customWidth="1"/>
  </cols>
  <sheetData>
    <row r="1" spans="1:6" x14ac:dyDescent="0.25">
      <c r="A1" t="s">
        <v>0</v>
      </c>
      <c r="B1" t="s">
        <v>91</v>
      </c>
      <c r="C1" t="s">
        <v>94</v>
      </c>
      <c r="D1" t="s">
        <v>92</v>
      </c>
      <c r="E1" t="s">
        <v>96</v>
      </c>
      <c r="F1" t="s">
        <v>97</v>
      </c>
    </row>
    <row r="2" spans="1:6" x14ac:dyDescent="0.25">
      <c r="A2" t="s">
        <v>81</v>
      </c>
      <c r="B2">
        <v>500</v>
      </c>
      <c r="C2" t="s">
        <v>95</v>
      </c>
      <c r="D2">
        <f>SUMIFS(Daily_Report!E:E,Daily_Report!H:H,Re_Investment_Details!C:C)</f>
        <v>172.11533084808946</v>
      </c>
      <c r="E2">
        <f>Table6[[#This Row],[Requested_Amount]]-Table6[[#This Row],[Total_Added_Amount]]</f>
        <v>327.88466915191054</v>
      </c>
      <c r="F2" t="s">
        <v>98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2026-01-02T23:08:42Z</dcterms:modified>
</cp:coreProperties>
</file>