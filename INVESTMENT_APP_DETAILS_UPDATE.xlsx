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N330" i="1" l="1"/>
  <c r="N329" i="1"/>
  <c r="N328" i="1"/>
  <c r="N327" i="1"/>
  <c r="N326" i="1"/>
  <c r="N325" i="1"/>
  <c r="N324" i="1"/>
  <c r="N323" i="1"/>
  <c r="N322" i="1"/>
  <c r="F27" i="7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<sst xmlns="http://schemas.openxmlformats.org/spreadsheetml/2006/main" count="1730" uniqueCount="120">
  <si>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</si>
  <si>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</si>
  <si>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</si>
  <si>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</si>
  <si>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</si>
  <si>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</si>
  <si>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</si>
  <si>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</si>
  <si>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</si>
  <si>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</si>
  <si>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</si>
  <si>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</si>
  <si>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</si>
  <si>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</si>
  <si>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</si>
  <si>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</si>
  <si>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</si>
  <si>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</si>
  <si>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</si>
  <si>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</si>
  <si>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</si>
  <si>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</si>
  <si>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</si>
  <si>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</si>
  <si>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</si>
  <si>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</si>
  <si>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</si>
  <si>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</si>
  <si>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</si>
  <si>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</si>
  <si>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</si>
  <si>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</si>
  <si>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</si>
  <si>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</si>
  <si>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</si>
  <si>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</si>
  <si>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</si>
  <si>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</si>
  <si>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</si>
  <si>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</si>
  <si>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</si>
  <si>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</si>
  <si>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</si>
  <si>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</si>
  <si>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</si>
  <si>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</si>
  <si>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</si>
  <si>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</si>
  <si>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</si>
  <si>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</si>
  <si>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</si>
  <si>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</si>
  <si>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</si>
  <si>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</si>
  <si>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</si>
  <si>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</si>
  <si>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</si>
  <si>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</si>
  <si>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</si>
  <si>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</si>
  <si>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</si>
  <si>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</si>
  <si>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</si>
  <si>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</si>
  <si>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</si>
  <si>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</si>
  <si>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</si>
  <si>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</si>
  <si>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</si>
  <si>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</si>
  <si>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</si>
  <si>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</si>
  <si>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</si>
  <si>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</si>
  <si>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</si>
  <si>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</si>
  <si>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</si>
  <si>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</si>
  <si>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</si>
  <si>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</si>
  <si>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</si>
  <si>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</si>
  <si>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</si>
  <si>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</si>
  <si>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</si>
  <si>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</si>
  <si>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</si>
  <si>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</si>
  <si>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</si>
  <si>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</si>
  <si>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</si>
  <si>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</si>
  <si>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</si>
  <si>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</si>
  <si>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</si>
  <si>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</si>
  <si>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</si>
  <si>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</si>
  <si>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</si>
  <si>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</si>
  <si>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</si>
  <si>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</si>
  <si>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</si>
  <si>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</si>
  <si>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</si>
  <si>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</si>
  <si>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</si>
  <si>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</si>
  <si>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</si>
  <si>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</si>
  <si>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</si>
  <si>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</si>
  <si>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</si>
  <si>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</si>
  <si>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</si>
  <si>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</si>
  <si>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</si>
  <si>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</si>
  <si>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</si>
  <si>
    <t>T022ADD260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</si>
</sst>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49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8" dataDxfId="47" totalsRowDxfId="46">
  <autoFilter ref="A1:N5640"/>
  <tableColumns count="14">
    <tableColumn id="9" name="Date" dataDxfId="45" totalsRowDxfId="13"/>
    <tableColumn id="13" name="UserID" dataDxfId="44" totalsRowDxfId="12"/>
    <tableColumn id="8" name="Name" dataDxfId="43" totalsRowDxfId="11"/>
    <tableColumn id="15" name="User_Invested_Amount" dataDxfId="42" totalsRowDxfId="10"/>
    <tableColumn id="17" name="Transaction_ID" dataDxfId="41" totalsRowDxfId="9"/>
    <tableColumn id="16" name="Transaction_Date" dataDxfId="40" totalsRowDxfId="8"/>
    <tableColumn id="3" name="User_Invest_Amount_As_On_Date" dataDxfId="39" totalsRowDxfId="7"/>
    <tableColumn id="6" name="Company_Total_Investment_As_On_Date" dataDxfId="38" totalsRowDxfId="6"/>
    <tableColumn id="10" name="Total_Profit" dataDxfId="37" totalsRowDxfId="5"/>
    <tableColumn id="11" name="Profit_%" dataDxfId="36" totalsRowDxfId="4"/>
    <tableColumn id="7" name="Profit_Without_Tax" dataDxfId="35" totalsRowDxfId="3"/>
    <tableColumn id="4" name="Payment_Status" dataDxfId="34" totalsRowDxfId="2"/>
    <tableColumn id="1" name="Tax_Deduction_%" dataDxfId="18" totalsRowDxfId="1"/>
    <tableColumn id="2" name="Profit_With_Tax" dataDxfId="17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32" dataDxfId="30" headerRowBorderDxfId="31" tableBorderDxfId="29" totalsRowBorderDxfId="28">
  <autoFilter ref="A1:I602"/>
  <tableColumns count="9">
    <tableColumn id="1" name="Date" dataDxfId="27"/>
    <tableColumn id="2" name="UserID" dataDxfId="26"/>
    <tableColumn id="3" name="Invest_Amount" dataDxfId="25"/>
    <tableColumn id="6" name="Company_Total_Invest" dataDxfId="24"/>
    <tableColumn id="4" name="Profit" dataDxfId="23"/>
    <tableColumn id="5" name="Payment" dataDxfId="22"/>
    <tableColumn id="7" name="Total_Profit" dataDxfId="21"/>
    <tableColumn id="8" name="Re-Invest_ID" dataDxfId="20"/>
    <tableColumn id="11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9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6">
      <calculatedColumnFormula>SUMIFS(Daily_Report!E:E,Daily_Report!H:H,Re_Investment_Details!C:C)</calculatedColumnFormula>
    </tableColumn>
    <tableColumn id="5" name="Pending_Amount_To_Be_Add" dataDxfId="15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abSelected="1" topLeftCell="G314" workbookViewId="0">
      <selection activeCell="L333" sqref="L333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4" x14ac:dyDescent="0.25">
      <c r="I321" s="15"/>
      <c r="M321" s="33"/>
    </row>
    <row r="322" spans="1:14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683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158.38649706457926</v>
      </c>
      <c r="L322" s="14" t="s">
        <v>39</v>
      </c>
      <c r="M322" s="33">
        <v>0.94</v>
      </c>
      <c r="N322" s="15">
        <f>Table1[[#This Row],[Profit_Without_Tax]]*Table1[[#This Row],[Tax_Deduction_%]]</f>
        <v>148.88330724070448</v>
      </c>
    </row>
    <row r="323" spans="1:14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683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56.80528375733855</v>
      </c>
      <c r="L323" s="14" t="s">
        <v>91</v>
      </c>
      <c r="M323" s="33">
        <v>0.94</v>
      </c>
      <c r="N323" s="15">
        <f>Table1[[#This Row],[Profit_Without_Tax]]*Table1[[#This Row],[Tax_Deduction_%]]</f>
        <v>53.396966731898232</v>
      </c>
    </row>
    <row r="324" spans="1:14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683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33.414872798434438</v>
      </c>
      <c r="L324" s="33" t="s">
        <v>39</v>
      </c>
      <c r="M324" s="33">
        <v>0.94</v>
      </c>
      <c r="N324" s="15">
        <f>Table1[[#This Row],[Profit_Without_Tax]]*Table1[[#This Row],[Tax_Deduction_%]]</f>
        <v>31.409980430528371</v>
      </c>
    </row>
    <row r="325" spans="1:14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683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200.48923679060664</v>
      </c>
      <c r="L325" s="33" t="s">
        <v>39</v>
      </c>
      <c r="M325" s="33">
        <v>0.94</v>
      </c>
      <c r="N325" s="15">
        <f>Table1[[#This Row],[Profit_Without_Tax]]*Table1[[#This Row],[Tax_Deduction_%]]</f>
        <v>188.45988258317024</v>
      </c>
    </row>
    <row r="326" spans="1:14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683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33.414872798434438</v>
      </c>
      <c r="L326" s="33" t="s">
        <v>39</v>
      </c>
      <c r="M326" s="33">
        <v>0.94</v>
      </c>
      <c r="N326" s="15">
        <f>Table1[[#This Row],[Profit_Without_Tax]]*Table1[[#This Row],[Tax_Deduction_%]]</f>
        <v>31.409980430528371</v>
      </c>
    </row>
    <row r="327" spans="1:14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683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66.829745596868875</v>
      </c>
      <c r="L327" s="33" t="s">
        <v>39</v>
      </c>
      <c r="M327" s="33">
        <v>0.94</v>
      </c>
      <c r="N327" s="15">
        <f>Table1[[#This Row],[Profit_Without_Tax]]*Table1[[#This Row],[Tax_Deduction_%]]</f>
        <v>62.819960861056742</v>
      </c>
    </row>
    <row r="328" spans="1:14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683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66.829745596868875</v>
      </c>
      <c r="L328" s="33" t="s">
        <v>39</v>
      </c>
      <c r="M328" s="33">
        <v>0.94</v>
      </c>
      <c r="N328" s="15">
        <f>Table1[[#This Row],[Profit_Without_Tax]]*Table1[[#This Row],[Tax_Deduction_%]]</f>
        <v>62.819960861056742</v>
      </c>
    </row>
    <row r="329" spans="1:14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683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33.414872798434438</v>
      </c>
      <c r="L329" s="33" t="s">
        <v>39</v>
      </c>
      <c r="M329" s="33">
        <v>0.94</v>
      </c>
      <c r="N329" s="15">
        <f>Table1[[#This Row],[Profit_Without_Tax]]*Table1[[#This Row],[Tax_Deduction_%]]</f>
        <v>31.409980430528371</v>
      </c>
    </row>
    <row r="330" spans="1:14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683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33.414872798434438</v>
      </c>
      <c r="L330" s="33" t="s">
        <v>91</v>
      </c>
      <c r="M330" s="33">
        <v>0.94</v>
      </c>
      <c r="N330" s="15">
        <f>Table1[[#This Row],[Profit_Without_Tax]]*Table1[[#This Row],[Tax_Deduction_%]]</f>
        <v>31.409980430528371</v>
      </c>
    </row>
    <row r="331" spans="1:14" x14ac:dyDescent="0.25">
      <c r="I331" s="15"/>
      <c r="M331" s="33"/>
    </row>
    <row r="332" spans="1:14" x14ac:dyDescent="0.25">
      <c r="A332" s="28">
        <v>46028</v>
      </c>
      <c r="B332" s="33" t="s">
        <v>7</v>
      </c>
      <c r="C332" s="33" t="s">
        <v>8</v>
      </c>
      <c r="D332" s="14">
        <v>260</v>
      </c>
      <c r="E332" s="14" t="s">
        <v>119</v>
      </c>
      <c r="G332" s="33">
        <v>5000</v>
      </c>
      <c r="H332" s="33">
        <v>21200</v>
      </c>
      <c r="I332" s="15">
        <v>0</v>
      </c>
      <c r="J332" s="15">
        <f>Table1[[#This Row],[User_Invest_Amount_As_On_Date]]/Table1[[#This Row],[Company_Total_Investment_As_On_Date]]</f>
        <v>0.23584905660377359</v>
      </c>
      <c r="K332" s="15">
        <f>Table1[[#This Row],[Total_Profit]]*Table1[[#This Row],[Profit_%]]</f>
        <v>0</v>
      </c>
      <c r="M332" s="33"/>
    </row>
    <row r="333" spans="1:14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21200</v>
      </c>
      <c r="I333" s="15">
        <v>0</v>
      </c>
      <c r="J333" s="15">
        <f>Table1[[#This Row],[User_Invest_Amount_As_On_Date]]/Table1[[#This Row],[Company_Total_Investment_As_On_Date]]</f>
        <v>8.0188679245283015E-2</v>
      </c>
      <c r="K333" s="15">
        <f>Table1[[#This Row],[Total_Profit]]*Table1[[#This Row],[Profit_%]]</f>
        <v>0</v>
      </c>
      <c r="M333" s="33"/>
    </row>
    <row r="334" spans="1:14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21200</v>
      </c>
      <c r="I334" s="15">
        <v>0</v>
      </c>
      <c r="J334" s="15">
        <f>Table1[[#This Row],[User_Invest_Amount_As_On_Date]]/Table1[[#This Row],[Company_Total_Investment_As_On_Date]]</f>
        <v>4.716981132075472E-2</v>
      </c>
      <c r="K334" s="15">
        <f>Table1[[#This Row],[Total_Profit]]*Table1[[#This Row],[Profit_%]]</f>
        <v>0</v>
      </c>
      <c r="M334" s="33"/>
    </row>
    <row r="335" spans="1:14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21200</v>
      </c>
      <c r="I335" s="15">
        <v>0</v>
      </c>
      <c r="J335" s="15">
        <f>Table1[[#This Row],[User_Invest_Amount_As_On_Date]]/Table1[[#This Row],[Company_Total_Investment_As_On_Date]]</f>
        <v>0.28301886792452829</v>
      </c>
      <c r="K335" s="15">
        <f>Table1[[#This Row],[Total_Profit]]*Table1[[#This Row],[Profit_%]]</f>
        <v>0</v>
      </c>
      <c r="M335" s="33"/>
    </row>
    <row r="336" spans="1:14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21200</v>
      </c>
      <c r="I336" s="15">
        <v>0</v>
      </c>
      <c r="J336" s="15">
        <f>Table1[[#This Row],[User_Invest_Amount_As_On_Date]]/Table1[[#This Row],[Company_Total_Investment_As_On_Date]]</f>
        <v>4.716981132075472E-2</v>
      </c>
      <c r="K336" s="15">
        <f>Table1[[#This Row],[Total_Profit]]*Table1[[#This Row],[Profit_%]]</f>
        <v>0</v>
      </c>
      <c r="M336" s="33"/>
    </row>
    <row r="337" spans="1:13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21200</v>
      </c>
      <c r="I337" s="15">
        <v>0</v>
      </c>
      <c r="J337" s="15">
        <f>Table1[[#This Row],[User_Invest_Amount_As_On_Date]]/Table1[[#This Row],[Company_Total_Investment_As_On_Date]]</f>
        <v>9.4339622641509441E-2</v>
      </c>
      <c r="K337" s="15">
        <f>Table1[[#This Row],[Total_Profit]]*Table1[[#This Row],[Profit_%]]</f>
        <v>0</v>
      </c>
      <c r="M337" s="33"/>
    </row>
    <row r="338" spans="1:13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21200</v>
      </c>
      <c r="I338" s="15">
        <v>0</v>
      </c>
      <c r="J338" s="15">
        <f>Table1[[#This Row],[User_Invest_Amount_As_On_Date]]/Table1[[#This Row],[Company_Total_Investment_As_On_Date]]</f>
        <v>9.4339622641509441E-2</v>
      </c>
      <c r="K338" s="15">
        <f>Table1[[#This Row],[Total_Profit]]*Table1[[#This Row],[Profit_%]]</f>
        <v>0</v>
      </c>
      <c r="M338" s="33"/>
    </row>
    <row r="339" spans="1:13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21200</v>
      </c>
      <c r="I339" s="15">
        <v>0</v>
      </c>
      <c r="J339" s="15">
        <f>Table1[[#This Row],[User_Invest_Amount_As_On_Date]]/Table1[[#This Row],[Company_Total_Investment_As_On_Date]]</f>
        <v>4.716981132075472E-2</v>
      </c>
      <c r="K339" s="15">
        <f>Table1[[#This Row],[Total_Profit]]*Table1[[#This Row],[Profit_%]]</f>
        <v>0</v>
      </c>
      <c r="M339" s="33"/>
    </row>
    <row r="340" spans="1:13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21200</v>
      </c>
      <c r="I340" s="15">
        <v>0</v>
      </c>
      <c r="J340" s="15">
        <f>Table1[[#This Row],[User_Invest_Amount_As_On_Date]]/Table1[[#This Row],[Company_Total_Investment_As_On_Date]]</f>
        <v>4.716981132075472E-2</v>
      </c>
      <c r="K340" s="15">
        <f>Table1[[#This Row],[Total_Profit]]*Table1[[#This Row],[Profit_%]]</f>
        <v>0</v>
      </c>
      <c r="M340" s="33"/>
    </row>
    <row r="341" spans="1:13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21200</v>
      </c>
      <c r="I341" s="15">
        <v>0</v>
      </c>
      <c r="J341" s="15">
        <f>Table1[[#This Row],[User_Invest_Amount_As_On_Date]]/Table1[[#This Row],[Company_Total_Investment_As_On_Date]]</f>
        <v>2.358490566037736E-2</v>
      </c>
      <c r="K341" s="15">
        <f>Table1[[#This Row],[Total_Profit]]*Table1[[#This Row],[Profit_%]]</f>
        <v>0</v>
      </c>
      <c r="M341" s="33"/>
    </row>
    <row r="342" spans="1:13" x14ac:dyDescent="0.25">
      <c r="I342" s="15"/>
      <c r="M342" s="33"/>
    </row>
    <row r="343" spans="1:13" x14ac:dyDescent="0.25">
      <c r="I343" s="15"/>
      <c r="M343" s="33"/>
    </row>
    <row r="344" spans="1:13" x14ac:dyDescent="0.25">
      <c r="I344" s="15"/>
      <c r="M344" s="33"/>
    </row>
    <row r="345" spans="1:13" x14ac:dyDescent="0.25">
      <c r="I345" s="15"/>
      <c r="M345" s="33"/>
    </row>
    <row r="346" spans="1:13" x14ac:dyDescent="0.25">
      <c r="I346" s="15"/>
      <c r="M346" s="33"/>
    </row>
    <row r="347" spans="1:13" x14ac:dyDescent="0.25">
      <c r="I347" s="15"/>
      <c r="M347" s="33"/>
    </row>
    <row r="348" spans="1:13" x14ac:dyDescent="0.25">
      <c r="I348" s="15"/>
      <c r="M348" s="33"/>
    </row>
    <row r="349" spans="1:13" x14ac:dyDescent="0.25">
      <c r="I349" s="15"/>
      <c r="M349" s="33"/>
    </row>
    <row r="350" spans="1:13" x14ac:dyDescent="0.25">
      <c r="I350" s="15"/>
      <c r="M350" s="33"/>
    </row>
    <row r="351" spans="1:13" x14ac:dyDescent="0.25">
      <c r="I351" s="15"/>
      <c r="M351" s="33"/>
    </row>
    <row r="352" spans="1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A6" sqref="A6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5000</v>
      </c>
      <c r="E2" s="3">
        <f>SUMIFS(Daily_Report!E:E,Daily_Report!B:B,Table2[[#This Row],[UserID]])</f>
        <v>3950.9570762446901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2127.6688730798819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850.21352261281959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2363.0376005904232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1157.1828958321928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2789.799102383517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2596.8961173088906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1075.6480586544451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267.78675329313978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0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opLeftCell="C305" workbookViewId="0">
      <selection activeCell="I311" sqref="I31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9.57031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6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116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33" t="s">
        <v>91</v>
      </c>
      <c r="G278" s="15">
        <v>787</v>
      </c>
      <c r="H278" s="14" t="s">
        <v>93</v>
      </c>
      <c r="I278" s="33" t="s">
        <v>116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33" t="s">
        <v>91</v>
      </c>
      <c r="G288" s="15">
        <v>932</v>
      </c>
      <c r="H288" s="14" t="s">
        <v>93</v>
      </c>
      <c r="I288" s="33" t="s">
        <v>116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33" t="s">
        <v>91</v>
      </c>
      <c r="G298" s="15">
        <v>786</v>
      </c>
      <c r="H298" s="33" t="s">
        <v>93</v>
      </c>
      <c r="I298" s="33" t="s">
        <v>116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78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33" t="s">
        <v>91</v>
      </c>
      <c r="G301" s="15">
        <v>512</v>
      </c>
      <c r="H301" s="14" t="s">
        <v>109</v>
      </c>
      <c r="I301" s="33" t="s">
        <v>117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118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118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118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118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118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118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116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148.88330724070448</v>
      </c>
      <c r="F310" s="14" t="s">
        <v>39</v>
      </c>
      <c r="G310" s="15">
        <v>683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53.396966731898232</v>
      </c>
      <c r="F311" s="33" t="s">
        <v>91</v>
      </c>
      <c r="G311" s="15">
        <v>683</v>
      </c>
      <c r="H311" s="14" t="s">
        <v>109</v>
      </c>
      <c r="I311" s="33" t="s">
        <v>117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31.409980430528371</v>
      </c>
      <c r="F312" s="14" t="s">
        <v>39</v>
      </c>
      <c r="G312" s="15">
        <v>683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188.45988258317024</v>
      </c>
      <c r="F313" s="33" t="s">
        <v>39</v>
      </c>
      <c r="G313" s="15">
        <v>683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31.409980430528371</v>
      </c>
      <c r="F314" s="33" t="s">
        <v>39</v>
      </c>
      <c r="G314" s="15">
        <v>683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62.819960861056742</v>
      </c>
      <c r="F315" s="33" t="s">
        <v>39</v>
      </c>
      <c r="G315" s="15">
        <v>683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62.819960861056742</v>
      </c>
      <c r="F316" s="33" t="s">
        <v>39</v>
      </c>
      <c r="G316" s="15">
        <v>683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31.409980430528371</v>
      </c>
      <c r="F317" s="33" t="s">
        <v>39</v>
      </c>
      <c r="G317" s="15">
        <v>683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31.409980430528371</v>
      </c>
      <c r="F318" s="33" t="s">
        <v>91</v>
      </c>
      <c r="G318" s="15">
        <v>683</v>
      </c>
      <c r="H318" s="33" t="s">
        <v>93</v>
      </c>
      <c r="I318" s="33" t="s">
        <v>116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4740</v>
      </c>
      <c r="D320" s="33">
        <v>20940</v>
      </c>
      <c r="E320" s="15">
        <v>0</v>
      </c>
      <c r="F320" s="33" t="s">
        <v>78</v>
      </c>
      <c r="G320" s="15">
        <v>0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20940</v>
      </c>
      <c r="E321" s="15">
        <v>0</v>
      </c>
      <c r="F321" s="33" t="s">
        <v>91</v>
      </c>
      <c r="G321" s="15">
        <v>0</v>
      </c>
      <c r="H321" s="33" t="s">
        <v>109</v>
      </c>
      <c r="I321" s="33" t="s">
        <v>117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20940</v>
      </c>
      <c r="E322" s="15">
        <v>0</v>
      </c>
      <c r="F322" s="33" t="s">
        <v>78</v>
      </c>
      <c r="G322" s="15">
        <v>0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20940</v>
      </c>
      <c r="E323" s="15">
        <v>0</v>
      </c>
      <c r="F323" s="33" t="s">
        <v>78</v>
      </c>
      <c r="G323" s="15">
        <v>0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20940</v>
      </c>
      <c r="E324" s="15">
        <v>0</v>
      </c>
      <c r="F324" s="33" t="s">
        <v>78</v>
      </c>
      <c r="G324" s="15">
        <v>0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20940</v>
      </c>
      <c r="E325" s="15">
        <v>0</v>
      </c>
      <c r="F325" s="33" t="s">
        <v>78</v>
      </c>
      <c r="G325" s="15">
        <v>0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20940</v>
      </c>
      <c r="E326" s="15">
        <v>0</v>
      </c>
      <c r="F326" s="33" t="s">
        <v>78</v>
      </c>
      <c r="G326" s="15">
        <v>0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20940</v>
      </c>
      <c r="E327" s="15">
        <v>0</v>
      </c>
      <c r="F327" s="33" t="s">
        <v>78</v>
      </c>
      <c r="G327" s="15">
        <v>0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20940</v>
      </c>
      <c r="E328" s="15">
        <v>0</v>
      </c>
      <c r="F328" s="33" t="s">
        <v>91</v>
      </c>
      <c r="G328" s="15">
        <v>0</v>
      </c>
      <c r="H328" s="33" t="s">
        <v>93</v>
      </c>
      <c r="I328" s="33" t="s">
        <v>116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20940</v>
      </c>
      <c r="E329" s="15">
        <v>0</v>
      </c>
      <c r="F329" s="14" t="s">
        <v>78</v>
      </c>
      <c r="G329" s="15">
        <v>0</v>
      </c>
      <c r="I329" s="33"/>
    </row>
    <row r="330" spans="1:9" x14ac:dyDescent="0.25">
      <c r="D330" s="16"/>
      <c r="G330" s="15"/>
      <c r="I330" s="33"/>
    </row>
    <row r="331" spans="1:9" x14ac:dyDescent="0.25">
      <c r="D331" s="16"/>
      <c r="G331" s="15"/>
      <c r="I331" s="33"/>
    </row>
    <row r="332" spans="1:9" x14ac:dyDescent="0.25">
      <c r="D332" s="16"/>
      <c r="G332" s="15"/>
      <c r="I332" s="33"/>
    </row>
    <row r="333" spans="1:9" x14ac:dyDescent="0.25">
      <c r="D333" s="16"/>
      <c r="G333" s="15"/>
      <c r="I333" s="33"/>
    </row>
    <row r="334" spans="1:9" x14ac:dyDescent="0.25">
      <c r="D334" s="16"/>
      <c r="G334" s="15"/>
      <c r="I334" s="33"/>
    </row>
    <row r="335" spans="1:9" x14ac:dyDescent="0.25">
      <c r="D335" s="16"/>
      <c r="G335" s="15"/>
      <c r="I335" s="33"/>
    </row>
    <row r="336" spans="1:9" x14ac:dyDescent="0.25">
      <c r="D336" s="16"/>
      <c r="G336" s="15"/>
      <c r="I336" s="33"/>
    </row>
    <row r="337" spans="4:9" x14ac:dyDescent="0.25">
      <c r="D337" s="16"/>
      <c r="G337" s="15"/>
      <c r="I337" s="33"/>
    </row>
    <row r="338" spans="4:9" x14ac:dyDescent="0.25">
      <c r="D338" s="16"/>
      <c r="G338" s="15"/>
      <c r="I338" s="33"/>
    </row>
    <row r="339" spans="4:9" x14ac:dyDescent="0.25">
      <c r="D339" s="16"/>
      <c r="G339" s="15"/>
      <c r="I339" s="33"/>
    </row>
    <row r="340" spans="4:9" x14ac:dyDescent="0.25">
      <c r="D340" s="16"/>
      <c r="G340" s="15"/>
      <c r="I340" s="33"/>
    </row>
    <row r="341" spans="4:9" x14ac:dyDescent="0.25">
      <c r="D341" s="16"/>
      <c r="G341" s="15"/>
      <c r="I341" s="33"/>
    </row>
    <row r="342" spans="4:9" x14ac:dyDescent="0.25">
      <c r="D342" s="16"/>
      <c r="G342" s="15"/>
      <c r="I342" s="33"/>
    </row>
    <row r="343" spans="4:9" x14ac:dyDescent="0.25">
      <c r="D343" s="16"/>
      <c r="G343" s="15"/>
      <c r="I343" s="33"/>
    </row>
    <row r="344" spans="4:9" x14ac:dyDescent="0.25">
      <c r="D344" s="16"/>
      <c r="G344" s="15"/>
      <c r="I344" s="33"/>
    </row>
    <row r="345" spans="4:9" x14ac:dyDescent="0.25">
      <c r="D345" s="16"/>
      <c r="G345" s="15"/>
      <c r="I345" s="33"/>
    </row>
    <row r="346" spans="4:9" x14ac:dyDescent="0.25">
      <c r="D346" s="16"/>
      <c r="G346" s="15"/>
      <c r="I346" s="33"/>
    </row>
    <row r="347" spans="4:9" x14ac:dyDescent="0.25">
      <c r="D347" s="16"/>
      <c r="G347" s="15"/>
      <c r="I347" s="33"/>
    </row>
    <row r="348" spans="4:9" x14ac:dyDescent="0.25">
      <c r="D348" s="16"/>
      <c r="G348" s="15"/>
      <c r="I348" s="33"/>
    </row>
    <row r="349" spans="4:9" x14ac:dyDescent="0.25">
      <c r="D349" s="16"/>
      <c r="G349" s="15"/>
      <c r="I349" s="33"/>
    </row>
    <row r="350" spans="4:9" x14ac:dyDescent="0.25">
      <c r="D350" s="16"/>
      <c r="G350" s="15"/>
      <c r="I350" s="33"/>
    </row>
    <row r="351" spans="4:9" x14ac:dyDescent="0.25">
      <c r="D351" s="16"/>
      <c r="G351" s="15"/>
      <c r="I351" s="33"/>
    </row>
    <row r="352" spans="4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D26" sqref="D26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D2" sqref="D2:D3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267.78675329313978</v>
      </c>
      <c r="E2" s="3">
        <f>Table6[[#This Row],[Requested_Amount]]-Table6[[#This Row],[Total_Added_Amount]]</f>
        <v>232.21324670686022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101.69543190309068</v>
      </c>
      <c r="E3" s="3">
        <f>Table6[[#This Row],[Requested_Amount]]-Table6[[#This Row],[Total_Added_Amount]]</f>
        <v>198.30456809690932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2026-01-06T03:21:29Z</dcterms:modified>
</cp:coreProperties>
</file>