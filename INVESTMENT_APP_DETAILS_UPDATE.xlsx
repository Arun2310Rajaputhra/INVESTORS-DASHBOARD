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Self_Investment" sheetId="8" r:id="rId7"/>
  </sheets>
  <calcPr calcId="144525"/>
</workbook>
</file>

<file path=xl/calcChain.xml><?xml version="1.0" encoding="utf-8"?>
<calcChain xmlns="http://schemas.openxmlformats.org/spreadsheetml/2006/main">
  <c r="K290" i="1" l="1"/>
  <c r="K289" i="1"/>
  <c r="K288" i="1"/>
  <c r="K287" i="1"/>
  <c r="K286" i="1"/>
  <c r="K285" i="1"/>
  <c r="K284" i="1"/>
  <c r="K283" i="1"/>
  <c r="K282" i="1"/>
  <c r="J290" i="1"/>
  <c r="J289" i="1"/>
  <c r="J288" i="1"/>
  <c r="J287" i="1"/>
  <c r="J286" i="1"/>
  <c r="J285" i="1"/>
  <c r="J284" i="1"/>
  <c r="J283" i="1"/>
  <c r="J282" i="1"/>
  <c r="J273" i="1" l="1"/>
  <c r="J274" i="1"/>
  <c r="J275" i="1"/>
  <c r="J276" i="1"/>
  <c r="J277" i="1"/>
  <c r="J278" i="1"/>
  <c r="J279" i="1"/>
  <c r="J280" i="1"/>
  <c r="K273" i="1"/>
  <c r="K274" i="1"/>
  <c r="K275" i="1"/>
  <c r="K276" i="1"/>
  <c r="K277" i="1"/>
  <c r="K278" i="1"/>
  <c r="K279" i="1"/>
  <c r="K280" i="1"/>
  <c r="J272" i="1"/>
  <c r="K272" i="1" s="1"/>
  <c r="K270" i="1" l="1"/>
  <c r="K269" i="1"/>
  <c r="K268" i="1"/>
  <c r="K267" i="1"/>
  <c r="K266" i="1"/>
  <c r="K265" i="1"/>
  <c r="K264" i="1"/>
  <c r="K263" i="1"/>
  <c r="J270" i="1"/>
  <c r="J269" i="1"/>
  <c r="J268" i="1"/>
  <c r="J267" i="1"/>
  <c r="J266" i="1"/>
  <c r="J265" i="1"/>
  <c r="J264" i="1"/>
  <c r="J263" i="1"/>
  <c r="E10" i="2"/>
  <c r="F17" i="7"/>
  <c r="L14" i="6"/>
  <c r="L13" i="6"/>
  <c r="R17" i="6"/>
  <c r="K261" i="1" l="1"/>
  <c r="K260" i="1"/>
  <c r="K259" i="1"/>
  <c r="K258" i="1"/>
  <c r="K257" i="1"/>
  <c r="K256" i="1"/>
  <c r="K255" i="1"/>
  <c r="K254" i="1"/>
  <c r="J261" i="1"/>
  <c r="J260" i="1"/>
  <c r="J259" i="1"/>
  <c r="J258" i="1"/>
  <c r="J257" i="1"/>
  <c r="J256" i="1"/>
  <c r="J255" i="1"/>
  <c r="J254" i="1"/>
  <c r="J252" i="1" l="1"/>
  <c r="K252" i="1" s="1"/>
  <c r="J251" i="1"/>
  <c r="K251" i="1" s="1"/>
  <c r="J250" i="1"/>
  <c r="K250" i="1" s="1"/>
  <c r="J249" i="1"/>
  <c r="K249" i="1" s="1"/>
  <c r="J248" i="1"/>
  <c r="K248" i="1" s="1"/>
  <c r="J247" i="1"/>
  <c r="K247" i="1" s="1"/>
  <c r="J246" i="1"/>
  <c r="K246" i="1" s="1"/>
  <c r="J245" i="1"/>
  <c r="K245" i="1" s="1"/>
  <c r="J243" i="1" l="1"/>
  <c r="K243" i="1" s="1"/>
  <c r="K242" i="1"/>
  <c r="J242" i="1"/>
  <c r="K241" i="1"/>
  <c r="J241" i="1"/>
  <c r="J240" i="1"/>
  <c r="K240" i="1" s="1"/>
  <c r="J239" i="1"/>
  <c r="K239" i="1" s="1"/>
  <c r="J238" i="1"/>
  <c r="K238" i="1" s="1"/>
  <c r="K237" i="1"/>
  <c r="J237" i="1"/>
  <c r="K236" i="1"/>
  <c r="J236" i="1"/>
  <c r="J234" i="1" l="1"/>
  <c r="K234" i="1" s="1"/>
  <c r="J233" i="1"/>
  <c r="K233" i="1" s="1"/>
  <c r="J232" i="1"/>
  <c r="K232" i="1" s="1"/>
  <c r="J231" i="1"/>
  <c r="K231" i="1" s="1"/>
  <c r="J230" i="1"/>
  <c r="K230" i="1" s="1"/>
  <c r="J229" i="1"/>
  <c r="K229" i="1" s="1"/>
  <c r="J228" i="1"/>
  <c r="K228" i="1" s="1"/>
  <c r="J227" i="1"/>
  <c r="K227" i="1" s="1"/>
  <c r="J225" i="1" l="1"/>
  <c r="K225" i="1" s="1"/>
  <c r="J224" i="1"/>
  <c r="K224" i="1" s="1"/>
  <c r="J223" i="1"/>
  <c r="K223" i="1" s="1"/>
  <c r="J222" i="1"/>
  <c r="K222" i="1" s="1"/>
  <c r="J221" i="1"/>
  <c r="K221" i="1" s="1"/>
  <c r="J220" i="1"/>
  <c r="K220" i="1" s="1"/>
  <c r="J219" i="1"/>
  <c r="K219" i="1" s="1"/>
  <c r="J218" i="1"/>
  <c r="K218" i="1" s="1"/>
  <c r="J216" i="1" l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9" i="1"/>
  <c r="K209" i="1" s="1"/>
  <c r="J207" i="1" l="1"/>
  <c r="K207" i="1" s="1"/>
  <c r="J206" i="1"/>
  <c r="K206" i="1" s="1"/>
  <c r="J205" i="1"/>
  <c r="K205" i="1" s="1"/>
  <c r="J204" i="1"/>
  <c r="K204" i="1" s="1"/>
  <c r="J203" i="1"/>
  <c r="K203" i="1" s="1"/>
  <c r="J202" i="1"/>
  <c r="K202" i="1" s="1"/>
  <c r="J201" i="1"/>
  <c r="K201" i="1" s="1"/>
  <c r="J200" i="1"/>
  <c r="K200" i="1" s="1"/>
  <c r="J198" i="1" l="1"/>
  <c r="K198" i="1" s="1"/>
  <c r="K197" i="1"/>
  <c r="J197" i="1"/>
  <c r="K196" i="1"/>
  <c r="J196" i="1"/>
  <c r="K195" i="1"/>
  <c r="J195" i="1"/>
  <c r="K194" i="1"/>
  <c r="J194" i="1"/>
  <c r="J193" i="1"/>
  <c r="K193" i="1" s="1"/>
  <c r="J192" i="1"/>
  <c r="K192" i="1" s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 s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28" i="1"/>
  <c r="K128" i="1" s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<sst xmlns="http://schemas.openxmlformats.org/spreadsheetml/2006/main" count="1461" uniqueCount="95">
  <si>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</si>
  <si>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</si>
  <si>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</si>
  <si>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</si>
  <si>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</si>
  <si>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</si>
  <si>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</si>
  <si>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</si>
  <si>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</si>
  <si>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</si>
  <si>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</si>
  <si>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</si>
  <si>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</si>
  <si>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</si>
  <si>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</si>
  <si>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</si>
  <si>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</si>
  <si>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</si>
  <si>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</si>
  <si>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</si>
  <si>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</si>
  <si>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</si>
  <si>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</si>
  <si>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</si>
  <si>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</si>
  <si>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</si>
  <si>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</si>
  <si>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</si>
  <si>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</si>
  <si>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</si>
  <si>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</si>
  <si>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</si>
  <si>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</si>
  <si>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</si>
  <si>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</si>
  <si>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</si>
  <si>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</si>
  <si>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</si>
  <si>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</si>
  <si>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</si>
  <si>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</si>
  <si>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</si>
  <si>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</si>
  <si>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</si>
  <si>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</si>
  <si>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</si>
  <si>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</si>
  <si>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</si>
  <si>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</si>
  <si>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</si>
  <si>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</si>
  <si>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</si>
  <si>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</si>
  <si>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</si>
  <si>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</si>
  <si>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</si>
  <si>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</si>
  <si>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</si>
  <si>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</si>
  <si>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</si>
  <si>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</si>
  <si>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</si>
  <si>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</si>
  <si>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</si>
  <si>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</si>
  <si>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</si>
  <si>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</si>
  <si>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</si>
  <si>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</si>
  <si>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</si>
  <si>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</si>
  <si>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</si>
  <si>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</si>
  <si>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</si>
  <si>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</si>
  <si>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</si>
  <si>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</si>
  <si>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</si>
  <si>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</si>
  <si>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</si>
  <si>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</si>
  <si>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</si>
  <si>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VPS Charges For 10th Dec'2025_for 10 days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</si>
  <si>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</si>
  <si>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</si>
  <si>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</si>
  <si>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</si>
  <si>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</si>
  <si>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</si>
  <si>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</si>
  <si>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</si>
  <si>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</si>
  <si>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</si>
  <si>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Added_Amount</t>
  </si>
  <si>
    <t>Re-Invest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</si>
</sst>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0" totalsRowShown="0">
  <autoFilter ref="A1:F10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7" totalsRowShown="0">
  <autoFilter ref="A1:F17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D30" totalsRowShown="0">
  <autoFilter ref="A1:D30"/>
  <tableColumns count="4">
    <tableColumn id="2" name="UserID"/>
    <tableColumn id="3" name="Requested_Amount"/>
    <tableColumn id="4" name="Added_Amount"/>
    <tableColumn id="5" name="Total_Added_Am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7205160299@yb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abSelected="1" topLeftCell="D270" workbookViewId="0">
      <selection activeCell="G288" sqref="G288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</row>
    <row r="208" spans="1:12" x14ac:dyDescent="0.25">
      <c r="I208" s="15"/>
    </row>
    <row r="209" spans="1:12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</row>
    <row r="210" spans="1:12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</row>
    <row r="211" spans="1:12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</row>
    <row r="212" spans="1:12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</row>
    <row r="213" spans="1:12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</row>
    <row r="214" spans="1:12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</row>
    <row r="215" spans="1:12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</row>
    <row r="216" spans="1:12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</row>
    <row r="217" spans="1:12" x14ac:dyDescent="0.25">
      <c r="I217" s="15"/>
    </row>
    <row r="218" spans="1:12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</row>
    <row r="219" spans="1:12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</row>
    <row r="220" spans="1:12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</row>
    <row r="221" spans="1:12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</row>
    <row r="222" spans="1:12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</row>
    <row r="223" spans="1:12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</row>
    <row r="224" spans="1:12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</row>
    <row r="225" spans="1:12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</row>
    <row r="226" spans="1:12" x14ac:dyDescent="0.25">
      <c r="I226" s="15"/>
    </row>
    <row r="227" spans="1:12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</row>
    <row r="228" spans="1:12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</row>
    <row r="229" spans="1:12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</row>
    <row r="230" spans="1:12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</row>
    <row r="231" spans="1:12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</row>
    <row r="232" spans="1:12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</row>
    <row r="233" spans="1:12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</row>
    <row r="234" spans="1:12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</row>
    <row r="235" spans="1:12" x14ac:dyDescent="0.25">
      <c r="I235" s="15"/>
    </row>
    <row r="236" spans="1:12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</row>
    <row r="237" spans="1:12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</row>
    <row r="238" spans="1:12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</row>
    <row r="239" spans="1:12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</row>
    <row r="240" spans="1:12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</row>
    <row r="241" spans="1:12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</row>
    <row r="242" spans="1:12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</row>
    <row r="243" spans="1:12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</row>
    <row r="244" spans="1:12" x14ac:dyDescent="0.25">
      <c r="I244" s="15"/>
    </row>
    <row r="245" spans="1:12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</row>
    <row r="246" spans="1:12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</row>
    <row r="247" spans="1:12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</row>
    <row r="248" spans="1:12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</row>
    <row r="249" spans="1:12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</row>
    <row r="250" spans="1:12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</row>
    <row r="251" spans="1:12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</row>
    <row r="252" spans="1:12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</row>
    <row r="253" spans="1:12" x14ac:dyDescent="0.25">
      <c r="I253" s="15"/>
    </row>
    <row r="254" spans="1:12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80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</row>
    <row r="255" spans="1:12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</row>
    <row r="256" spans="1:12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</row>
    <row r="257" spans="1:12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</row>
    <row r="258" spans="1:12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</row>
    <row r="259" spans="1:12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</row>
    <row r="260" spans="1:12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</row>
    <row r="261" spans="1:12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</row>
    <row r="262" spans="1:12" x14ac:dyDescent="0.25">
      <c r="I262" s="15"/>
    </row>
    <row r="263" spans="1:12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</row>
    <row r="264" spans="1:12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</row>
    <row r="265" spans="1:12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</row>
    <row r="266" spans="1:12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</row>
    <row r="267" spans="1:12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</row>
    <row r="268" spans="1:12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</row>
    <row r="269" spans="1:12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</row>
    <row r="270" spans="1:12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</row>
    <row r="271" spans="1:12" x14ac:dyDescent="0.25">
      <c r="I271" s="15"/>
    </row>
    <row r="272" spans="1:12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79</v>
      </c>
    </row>
    <row r="273" spans="1:12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79</v>
      </c>
    </row>
    <row r="274" spans="1:12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86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79</v>
      </c>
    </row>
    <row r="275" spans="1:12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79</v>
      </c>
    </row>
    <row r="276" spans="1:12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79</v>
      </c>
    </row>
    <row r="277" spans="1:12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79</v>
      </c>
    </row>
    <row r="278" spans="1:12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79</v>
      </c>
    </row>
    <row r="279" spans="1:12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79</v>
      </c>
    </row>
    <row r="280" spans="1:12" x14ac:dyDescent="0.25">
      <c r="A280" s="28">
        <v>46022</v>
      </c>
      <c r="B280" s="14" t="s">
        <v>81</v>
      </c>
      <c r="C280" s="14" t="s">
        <v>84</v>
      </c>
      <c r="D280" s="14">
        <v>1000</v>
      </c>
      <c r="E280" s="14" t="s">
        <v>85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94</v>
      </c>
    </row>
    <row r="281" spans="1:12" x14ac:dyDescent="0.25">
      <c r="I281" s="15"/>
    </row>
    <row r="282" spans="1:12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87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79</v>
      </c>
    </row>
    <row r="283" spans="1:12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79</v>
      </c>
    </row>
    <row r="284" spans="1:12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79</v>
      </c>
    </row>
    <row r="285" spans="1:12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79</v>
      </c>
    </row>
    <row r="286" spans="1:12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79</v>
      </c>
    </row>
    <row r="287" spans="1:12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79</v>
      </c>
    </row>
    <row r="288" spans="1:12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79</v>
      </c>
    </row>
    <row r="289" spans="1:12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79</v>
      </c>
    </row>
    <row r="290" spans="1:12" x14ac:dyDescent="0.25">
      <c r="A290" s="28">
        <v>46023</v>
      </c>
      <c r="B290" s="14" t="s">
        <v>81</v>
      </c>
      <c r="C290" s="14" t="s">
        <v>84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94</v>
      </c>
    </row>
    <row r="291" spans="1:12" x14ac:dyDescent="0.25">
      <c r="I291" s="15"/>
    </row>
    <row r="292" spans="1:12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/>
      <c r="L292" s="14" t="s">
        <v>79</v>
      </c>
    </row>
    <row r="293" spans="1:12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88</v>
      </c>
      <c r="G293" s="14">
        <v>1700</v>
      </c>
      <c r="H293" s="14">
        <v>16000</v>
      </c>
      <c r="I293" s="15"/>
      <c r="L293" s="14" t="s">
        <v>79</v>
      </c>
    </row>
    <row r="294" spans="1:12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/>
      <c r="L294" s="14" t="s">
        <v>79</v>
      </c>
    </row>
    <row r="295" spans="1:12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89</v>
      </c>
      <c r="G295" s="14">
        <v>2500</v>
      </c>
      <c r="H295" s="14">
        <v>16000</v>
      </c>
      <c r="I295" s="15"/>
      <c r="L295" s="14" t="s">
        <v>79</v>
      </c>
    </row>
    <row r="296" spans="1:12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/>
      <c r="L296" s="14" t="s">
        <v>79</v>
      </c>
    </row>
    <row r="297" spans="1:12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/>
      <c r="L297" s="14" t="s">
        <v>79</v>
      </c>
    </row>
    <row r="298" spans="1:12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/>
      <c r="L298" s="14" t="s">
        <v>79</v>
      </c>
    </row>
    <row r="299" spans="1:12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/>
      <c r="L299" s="14" t="s">
        <v>79</v>
      </c>
    </row>
    <row r="300" spans="1:12" x14ac:dyDescent="0.25">
      <c r="A300" s="28">
        <v>46024</v>
      </c>
      <c r="B300" s="14" t="s">
        <v>81</v>
      </c>
      <c r="C300" s="14" t="s">
        <v>84</v>
      </c>
      <c r="G300" s="14">
        <v>1000</v>
      </c>
      <c r="H300" s="14">
        <v>16000</v>
      </c>
      <c r="I300" s="15"/>
      <c r="L300" s="14" t="s">
        <v>79</v>
      </c>
    </row>
    <row r="301" spans="1:12" x14ac:dyDescent="0.25">
      <c r="I301" s="15"/>
    </row>
    <row r="302" spans="1:12" x14ac:dyDescent="0.25">
      <c r="I302" s="15"/>
    </row>
    <row r="303" spans="1:12" x14ac:dyDescent="0.25">
      <c r="I303" s="15"/>
    </row>
    <row r="304" spans="1:12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E2" sqref="E2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3800</v>
      </c>
      <c r="E2" s="3">
        <f>SUMIFS(Daily_Report!E:E,Daily_Report!B:B,Table2[[#This Row],[UserID]])</f>
        <v>3308.7316654022161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1700</v>
      </c>
      <c r="E3" s="3">
        <f>SUMIFS(Daily_Report!E:E,Daily_Report!B:B,Table2[[#This Row],[UserID]])</f>
        <v>1864.6360709531195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1000</v>
      </c>
      <c r="E4" s="3">
        <f>SUMIFS(Daily_Report!E:E,Daily_Report!B:B,Table2[[#This Row],[UserID]])</f>
        <v>696.29210016776938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2500</v>
      </c>
      <c r="E5" s="3">
        <f>SUMIFS(Daily_Report!E:E,Daily_Report!B:B,Table2[[#This Row],[UserID]])</f>
        <v>1861.4671931200626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1003.2614733871426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2481.9562574934162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2289.0532724187897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921.72663620939488</v>
      </c>
      <c r="F9" t="s">
        <v>65</v>
      </c>
    </row>
    <row r="10" spans="1:6" x14ac:dyDescent="0.25">
      <c r="A10" t="s">
        <v>81</v>
      </c>
      <c r="B10" t="s">
        <v>84</v>
      </c>
      <c r="C10" t="s">
        <v>83</v>
      </c>
      <c r="D10">
        <v>1000</v>
      </c>
      <c r="E10" s="3">
        <f>SUMIFS(Daily_Report!E:E,Daily_Report!B:B,Table2[[#This Row],[UserID]])</f>
        <v>113.86533084808947</v>
      </c>
      <c r="F10" t="s">
        <v>90</v>
      </c>
    </row>
  </sheetData>
  <hyperlinks>
    <hyperlink ref="F6" r:id="rId1"/>
    <hyperlink ref="F8" r:id="rId2"/>
    <hyperlink ref="F9" r:id="rId3"/>
    <hyperlink ref="F10" r:id="rId4"/>
  </hyperlink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opLeftCell="A261" workbookViewId="0">
      <selection activeCell="F278" sqref="F278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</row>
    <row r="243" spans="1:7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</row>
    <row r="244" spans="1:7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</row>
    <row r="245" spans="1:7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</row>
    <row r="246" spans="1:7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</row>
    <row r="247" spans="1:7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</row>
    <row r="248" spans="1:7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</row>
    <row r="249" spans="1:7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</row>
    <row r="250" spans="1:7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</row>
    <row r="252" spans="1:7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</row>
    <row r="253" spans="1:7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</row>
    <row r="254" spans="1:7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</row>
    <row r="255" spans="1:7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</row>
    <row r="256" spans="1:7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</row>
    <row r="257" spans="1:7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</row>
    <row r="258" spans="1:7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</row>
    <row r="259" spans="1:7" x14ac:dyDescent="0.25">
      <c r="D259" s="16"/>
      <c r="G259" s="15"/>
    </row>
    <row r="260" spans="1:7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212.41379310344828</v>
      </c>
      <c r="F260" s="14" t="s">
        <v>79</v>
      </c>
      <c r="G260" s="15">
        <v>880</v>
      </c>
    </row>
    <row r="261" spans="1:7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91.034482758620683</v>
      </c>
      <c r="F261" s="14" t="s">
        <v>79</v>
      </c>
      <c r="G261" s="15">
        <v>880</v>
      </c>
    </row>
    <row r="262" spans="1:7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60.689655172413794</v>
      </c>
      <c r="F262" s="14" t="s">
        <v>79</v>
      </c>
      <c r="G262" s="15">
        <v>880</v>
      </c>
    </row>
    <row r="263" spans="1:7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91.034482758620683</v>
      </c>
      <c r="F263" s="14" t="s">
        <v>79</v>
      </c>
      <c r="G263" s="15">
        <v>880</v>
      </c>
    </row>
    <row r="264" spans="1:7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60.689655172413794</v>
      </c>
      <c r="F264" s="14" t="s">
        <v>79</v>
      </c>
      <c r="G264" s="15">
        <v>880</v>
      </c>
    </row>
    <row r="265" spans="1:7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121.37931034482759</v>
      </c>
      <c r="F265" s="14" t="s">
        <v>79</v>
      </c>
      <c r="G265" s="15">
        <v>880</v>
      </c>
    </row>
    <row r="266" spans="1:7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121.37931034482759</v>
      </c>
      <c r="F266" s="14" t="s">
        <v>79</v>
      </c>
      <c r="G266" s="15">
        <v>880</v>
      </c>
    </row>
    <row r="267" spans="1:7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60.689655172413794</v>
      </c>
      <c r="F267" s="14" t="s">
        <v>79</v>
      </c>
      <c r="G267" s="15">
        <v>880</v>
      </c>
    </row>
    <row r="268" spans="1:7" x14ac:dyDescent="0.25">
      <c r="A268" s="28">
        <v>46022</v>
      </c>
      <c r="B268" s="14" t="s">
        <v>81</v>
      </c>
      <c r="C268" s="14">
        <v>1000</v>
      </c>
      <c r="D268" s="16">
        <v>14500</v>
      </c>
      <c r="E268" s="15">
        <v>60.689655172413794</v>
      </c>
      <c r="F268" s="14" t="s">
        <v>94</v>
      </c>
      <c r="G268" s="15">
        <v>880</v>
      </c>
    </row>
    <row r="269" spans="1:7" x14ac:dyDescent="0.25">
      <c r="D269" s="16"/>
      <c r="G269" s="15"/>
    </row>
    <row r="270" spans="1:7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202.06756756756755</v>
      </c>
      <c r="F270" s="14" t="s">
        <v>79</v>
      </c>
      <c r="G270" s="15">
        <v>787</v>
      </c>
    </row>
    <row r="271" spans="1:7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79.763513513513516</v>
      </c>
      <c r="F271" s="14" t="s">
        <v>79</v>
      </c>
      <c r="G271" s="15">
        <v>787</v>
      </c>
    </row>
    <row r="272" spans="1:7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53.175675675675677</v>
      </c>
      <c r="F272" s="14" t="s">
        <v>79</v>
      </c>
      <c r="G272" s="15">
        <v>787</v>
      </c>
    </row>
    <row r="273" spans="1:7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79.763513513513516</v>
      </c>
      <c r="F273" s="14" t="s">
        <v>79</v>
      </c>
      <c r="G273" s="15">
        <v>787</v>
      </c>
    </row>
    <row r="274" spans="1:7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53.175675675675677</v>
      </c>
      <c r="F274" s="14" t="s">
        <v>79</v>
      </c>
      <c r="G274" s="15">
        <v>787</v>
      </c>
    </row>
    <row r="275" spans="1:7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106.35135135135135</v>
      </c>
      <c r="F275" s="14" t="s">
        <v>79</v>
      </c>
      <c r="G275" s="15">
        <v>787</v>
      </c>
    </row>
    <row r="276" spans="1:7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106.35135135135135</v>
      </c>
      <c r="F276" s="14" t="s">
        <v>79</v>
      </c>
      <c r="G276" s="15">
        <v>787</v>
      </c>
    </row>
    <row r="277" spans="1:7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53.175675675675677</v>
      </c>
      <c r="F277" s="14" t="s">
        <v>79</v>
      </c>
      <c r="G277" s="15">
        <v>787</v>
      </c>
    </row>
    <row r="278" spans="1:7" x14ac:dyDescent="0.25">
      <c r="A278" s="28">
        <v>46023</v>
      </c>
      <c r="B278" s="14" t="s">
        <v>81</v>
      </c>
      <c r="C278" s="14">
        <v>1000</v>
      </c>
      <c r="D278" s="16">
        <v>14800</v>
      </c>
      <c r="E278" s="15">
        <v>53.175675675675677</v>
      </c>
      <c r="F278" s="14" t="s">
        <v>94</v>
      </c>
      <c r="G278" s="15">
        <v>787</v>
      </c>
    </row>
    <row r="279" spans="1:7" x14ac:dyDescent="0.25">
      <c r="D279" s="16"/>
      <c r="G279" s="15"/>
    </row>
    <row r="280" spans="1:7" x14ac:dyDescent="0.25">
      <c r="A280" s="28">
        <v>46024</v>
      </c>
      <c r="B280" s="14" t="s">
        <v>7</v>
      </c>
      <c r="C280" s="14">
        <v>3800</v>
      </c>
      <c r="D280" s="14">
        <v>16000</v>
      </c>
      <c r="F280" s="14" t="s">
        <v>79</v>
      </c>
      <c r="G280" s="15"/>
    </row>
    <row r="281" spans="1:7" x14ac:dyDescent="0.25">
      <c r="A281" s="28">
        <v>46024</v>
      </c>
      <c r="B281" s="14" t="s">
        <v>12</v>
      </c>
      <c r="C281" s="14">
        <v>1700</v>
      </c>
      <c r="D281" s="14">
        <v>16000</v>
      </c>
      <c r="F281" s="14" t="s">
        <v>79</v>
      </c>
      <c r="G281" s="15"/>
    </row>
    <row r="282" spans="1:7" x14ac:dyDescent="0.25">
      <c r="A282" s="28">
        <v>46024</v>
      </c>
      <c r="B282" s="14" t="s">
        <v>14</v>
      </c>
      <c r="C282" s="14">
        <v>1000</v>
      </c>
      <c r="D282" s="14">
        <v>16000</v>
      </c>
      <c r="F282" s="14" t="s">
        <v>79</v>
      </c>
      <c r="G282" s="15"/>
    </row>
    <row r="283" spans="1:7" x14ac:dyDescent="0.25">
      <c r="A283" s="28">
        <v>46024</v>
      </c>
      <c r="B283" s="14" t="s">
        <v>17</v>
      </c>
      <c r="C283" s="14">
        <v>2500</v>
      </c>
      <c r="D283" s="14">
        <v>16000</v>
      </c>
      <c r="F283" s="14" t="s">
        <v>79</v>
      </c>
      <c r="G283" s="15"/>
    </row>
    <row r="284" spans="1:7" x14ac:dyDescent="0.25">
      <c r="A284" s="28">
        <v>46024</v>
      </c>
      <c r="B284" s="14" t="s">
        <v>19</v>
      </c>
      <c r="C284" s="14">
        <v>1000</v>
      </c>
      <c r="D284" s="14">
        <v>16000</v>
      </c>
      <c r="F284" s="14" t="s">
        <v>79</v>
      </c>
      <c r="G284" s="15"/>
    </row>
    <row r="285" spans="1:7" x14ac:dyDescent="0.25">
      <c r="A285" s="28">
        <v>46024</v>
      </c>
      <c r="B285" s="14" t="s">
        <v>21</v>
      </c>
      <c r="C285" s="14">
        <v>2000</v>
      </c>
      <c r="D285" s="14">
        <v>16000</v>
      </c>
      <c r="F285" s="14" t="s">
        <v>79</v>
      </c>
      <c r="G285" s="15"/>
    </row>
    <row r="286" spans="1:7" x14ac:dyDescent="0.25">
      <c r="A286" s="28">
        <v>46024</v>
      </c>
      <c r="B286" s="14" t="s">
        <v>50</v>
      </c>
      <c r="C286" s="14">
        <v>2000</v>
      </c>
      <c r="D286" s="14">
        <v>16000</v>
      </c>
      <c r="F286" s="14" t="s">
        <v>79</v>
      </c>
      <c r="G286" s="15"/>
    </row>
    <row r="287" spans="1:7" x14ac:dyDescent="0.25">
      <c r="A287" s="28">
        <v>46024</v>
      </c>
      <c r="B287" s="14" t="s">
        <v>59</v>
      </c>
      <c r="C287" s="14">
        <v>1000</v>
      </c>
      <c r="D287" s="14">
        <v>16000</v>
      </c>
      <c r="F287" s="14" t="s">
        <v>79</v>
      </c>
      <c r="G287" s="15"/>
    </row>
    <row r="288" spans="1:7" x14ac:dyDescent="0.25">
      <c r="A288" s="28">
        <v>46024</v>
      </c>
      <c r="B288" s="14" t="s">
        <v>81</v>
      </c>
      <c r="C288" s="14">
        <v>1000</v>
      </c>
      <c r="D288" s="14">
        <v>16000</v>
      </c>
      <c r="F288" s="14" t="s">
        <v>79</v>
      </c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17" sqref="F17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  <row r="17" spans="1:6" x14ac:dyDescent="0.25">
      <c r="A17" t="s">
        <v>81</v>
      </c>
      <c r="B17" t="s">
        <v>82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L22" sqref="L22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7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7:18" x14ac:dyDescent="0.25">
      <c r="G18" s="19" t="s">
        <v>17</v>
      </c>
      <c r="H18" s="24">
        <v>1500</v>
      </c>
      <c r="I18" s="25">
        <v>0.1875</v>
      </c>
    </row>
    <row r="19" spans="7:18" x14ac:dyDescent="0.25">
      <c r="G19" s="20" t="s">
        <v>19</v>
      </c>
      <c r="H19" s="22">
        <v>500</v>
      </c>
      <c r="I19" s="23">
        <v>6.25E-2</v>
      </c>
    </row>
    <row r="20" spans="7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8" x14ac:dyDescent="0.25">
      <c r="L24">
        <v>60.25</v>
      </c>
    </row>
    <row r="25" spans="7:18" x14ac:dyDescent="0.25">
      <c r="L25">
        <v>180.75</v>
      </c>
    </row>
    <row r="26" spans="7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8" x14ac:dyDescent="0.25">
      <c r="L27">
        <v>180.75</v>
      </c>
    </row>
    <row r="28" spans="7:18" x14ac:dyDescent="0.25">
      <c r="L28">
        <v>241</v>
      </c>
    </row>
    <row r="29" spans="7:18" x14ac:dyDescent="0.25">
      <c r="L29">
        <v>209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selection activeCell="C2" sqref="C2"/>
    </sheetView>
  </sheetViews>
  <sheetFormatPr defaultRowHeight="15" x14ac:dyDescent="0.25"/>
  <cols>
    <col min="2" max="2" width="20.85546875" customWidth="1"/>
    <col min="3" max="3" width="17.140625" customWidth="1"/>
    <col min="4" max="4" width="22.5703125" customWidth="1"/>
  </cols>
  <sheetData>
    <row r="1" spans="1:4" x14ac:dyDescent="0.25">
      <c r="A1" t="s">
        <v>0</v>
      </c>
      <c r="B1" t="s">
        <v>91</v>
      </c>
      <c r="C1" t="s">
        <v>93</v>
      </c>
      <c r="D1" t="s">
        <v>92</v>
      </c>
    </row>
    <row r="2" spans="1:4" x14ac:dyDescent="0.25">
      <c r="A2" t="s">
        <v>81</v>
      </c>
      <c r="B2">
        <v>500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Self_Investment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2026-01-02T14:11:10Z</dcterms:modified>
</cp:coreProperties>
</file>