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18" i="7" l="1"/>
  <c r="F19" i="7"/>
  <c r="F20" i="7"/>
  <c r="F21" i="7"/>
  <c r="F22" i="7"/>
  <c r="F23" i="7"/>
  <c r="F24" i="7"/>
  <c r="F25" i="7"/>
  <c r="F26" i="7"/>
  <c r="N310" i="1"/>
  <c r="N309" i="1"/>
  <c r="N308" i="1"/>
  <c r="N307" i="1"/>
  <c r="N306" i="1"/>
  <c r="N305" i="1"/>
  <c r="N304" i="1"/>
  <c r="N303" i="1"/>
  <c r="N302" i="1"/>
  <c r="K310" i="1"/>
  <c r="K309" i="1"/>
  <c r="K308" i="1"/>
  <c r="K307" i="1"/>
  <c r="K306" i="1"/>
  <c r="K305" i="1"/>
  <c r="K304" i="1"/>
  <c r="K303" i="1"/>
  <c r="K302" i="1"/>
  <c r="J310" i="1"/>
  <c r="J309" i="1"/>
  <c r="J308" i="1"/>
  <c r="J307" i="1"/>
  <c r="J306" i="1"/>
  <c r="J305" i="1"/>
  <c r="J304" i="1"/>
  <c r="J303" i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<sst xmlns="http://schemas.openxmlformats.org/spreadsheetml/2006/main" count="1563" uniqueCount="106">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</sst>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6" totalsRowDxfId="1"/>
    <tableColumn id="2" name="Profit_With_Tax" dataDxfId="15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6" totalsRowShown="0">
  <autoFilter ref="A1:G26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4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288" workbookViewId="0">
      <selection activeCell="K307" sqref="K307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97</v>
      </c>
      <c r="L1" s="1" t="s">
        <v>16</v>
      </c>
      <c r="M1" s="1" t="s">
        <v>98</v>
      </c>
      <c r="N1" s="2" t="s">
        <v>99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78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83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79</v>
      </c>
      <c r="C280" s="14" t="s">
        <v>81</v>
      </c>
      <c r="D280" s="14">
        <v>1000</v>
      </c>
      <c r="E280" s="14" t="s">
        <v>82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90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84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79</v>
      </c>
      <c r="C290" s="14" t="s">
        <v>81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90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85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86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79</v>
      </c>
      <c r="C300" s="14" t="s">
        <v>81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90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79</v>
      </c>
      <c r="C310" s="33" t="s">
        <v>81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90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I312" s="15"/>
      <c r="M312" s="33"/>
    </row>
    <row r="313" spans="1:14" x14ac:dyDescent="0.25">
      <c r="I313" s="15"/>
      <c r="M313" s="33"/>
    </row>
    <row r="314" spans="1:14" x14ac:dyDescent="0.25">
      <c r="I314" s="15"/>
      <c r="M314" s="33"/>
    </row>
    <row r="315" spans="1:14" x14ac:dyDescent="0.25">
      <c r="I315" s="15"/>
      <c r="M315" s="33"/>
    </row>
    <row r="316" spans="1:14" x14ac:dyDescent="0.25">
      <c r="I316" s="15"/>
      <c r="M316" s="33"/>
    </row>
    <row r="317" spans="1:14" x14ac:dyDescent="0.25">
      <c r="I317" s="15"/>
      <c r="M317" s="33"/>
    </row>
    <row r="318" spans="1:14" x14ac:dyDescent="0.25">
      <c r="I318" s="15"/>
      <c r="M318" s="33"/>
    </row>
    <row r="319" spans="1:14" x14ac:dyDescent="0.25">
      <c r="I319" s="15"/>
      <c r="M319" s="33"/>
    </row>
    <row r="320" spans="1:14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4" sqref="E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3667.4062837619549</v>
      </c>
      <c r="F2" t="s">
        <v>38</v>
      </c>
    </row>
    <row r="3" spans="1:6" x14ac:dyDescent="0.25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2025.9734411767913</v>
      </c>
      <c r="F3" t="s">
        <v>42</v>
      </c>
    </row>
    <row r="4" spans="1:6" x14ac:dyDescent="0.25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790.39268031688391</v>
      </c>
      <c r="F4" t="s">
        <v>44</v>
      </c>
    </row>
    <row r="5" spans="1:6" x14ac:dyDescent="0.25">
      <c r="A5" t="s">
        <v>17</v>
      </c>
      <c r="B5" t="s">
        <v>18</v>
      </c>
      <c r="C5" t="s">
        <v>74</v>
      </c>
      <c r="D5">
        <v>2500</v>
      </c>
      <c r="E5" s="3">
        <f>SUMIFS(Daily_Report!E:E,Daily_Report!B:B,Table2[[#This Row],[UserID]])</f>
        <v>2103.5505633437347</v>
      </c>
      <c r="F5" t="s">
        <v>41</v>
      </c>
    </row>
    <row r="6" spans="1:6" x14ac:dyDescent="0.25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1097.3620535362572</v>
      </c>
      <c r="F6" t="s">
        <v>40</v>
      </c>
    </row>
    <row r="7" spans="1:6" x14ac:dyDescent="0.25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2670.1574177916459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2477.2544327170194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1015.8272163585095</v>
      </c>
      <c r="F9" t="s">
        <v>64</v>
      </c>
    </row>
    <row r="10" spans="1:6" x14ac:dyDescent="0.25">
      <c r="A10" t="s">
        <v>79</v>
      </c>
      <c r="B10" t="s">
        <v>81</v>
      </c>
      <c r="C10" t="s">
        <v>80</v>
      </c>
      <c r="D10">
        <v>1000</v>
      </c>
      <c r="E10" s="3">
        <f>SUMIFS(Daily_Report!E:E,Daily_Report!B:B,Table2[[#This Row],[UserID]])</f>
        <v>207.96591099720411</v>
      </c>
      <c r="F10" t="s">
        <v>87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71" workbookViewId="0">
      <selection activeCell="F291" sqref="F29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91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79</v>
      </c>
      <c r="C268" s="14">
        <v>1000</v>
      </c>
      <c r="D268" s="16">
        <v>14500</v>
      </c>
      <c r="E268" s="15">
        <v>57.048275862068962</v>
      </c>
      <c r="F268" s="14" t="s">
        <v>90</v>
      </c>
      <c r="G268" s="15">
        <v>880</v>
      </c>
      <c r="H268" s="14" t="s">
        <v>92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79</v>
      </c>
      <c r="C278" s="14">
        <v>1000</v>
      </c>
      <c r="D278" s="16">
        <v>14800</v>
      </c>
      <c r="E278" s="15">
        <v>49.985135135135131</v>
      </c>
      <c r="F278" s="14" t="s">
        <v>90</v>
      </c>
      <c r="G278" s="15">
        <v>787</v>
      </c>
      <c r="H278" s="14" t="s">
        <v>92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79</v>
      </c>
      <c r="C288" s="14">
        <v>1000</v>
      </c>
      <c r="D288" s="14">
        <v>16000</v>
      </c>
      <c r="E288" s="15">
        <v>54.754999999999995</v>
      </c>
      <c r="F288" s="14" t="s">
        <v>90</v>
      </c>
      <c r="G288" s="15">
        <v>932</v>
      </c>
      <c r="H288" s="14" t="s">
        <v>92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79</v>
      </c>
      <c r="C298" s="33">
        <v>1000</v>
      </c>
      <c r="D298" s="33">
        <v>16000</v>
      </c>
      <c r="E298" s="15">
        <v>46.177499999999995</v>
      </c>
      <c r="F298" s="14" t="s">
        <v>90</v>
      </c>
      <c r="G298" s="15">
        <v>786</v>
      </c>
      <c r="H298" s="33" t="s">
        <v>92</v>
      </c>
    </row>
    <row r="299" spans="1:8" x14ac:dyDescent="0.25">
      <c r="D299" s="16"/>
      <c r="G299" s="15"/>
    </row>
    <row r="300" spans="1:8" x14ac:dyDescent="0.25">
      <c r="D300" s="16"/>
      <c r="G300" s="15"/>
    </row>
    <row r="301" spans="1:8" x14ac:dyDescent="0.25">
      <c r="D301" s="16"/>
      <c r="G301" s="15"/>
    </row>
    <row r="302" spans="1:8" x14ac:dyDescent="0.25">
      <c r="D302" s="16"/>
      <c r="G302" s="15"/>
    </row>
    <row r="303" spans="1:8" x14ac:dyDescent="0.25">
      <c r="D303" s="16"/>
      <c r="G303" s="15"/>
    </row>
    <row r="304" spans="1:8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workbookViewId="0">
      <selection activeCell="G27" sqref="G27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100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101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101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101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101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101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101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101</v>
      </c>
    </row>
    <row r="9" spans="1:7" x14ac:dyDescent="0.25">
      <c r="A9" t="s">
        <v>7</v>
      </c>
      <c r="B9" t="s">
        <v>103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102</v>
      </c>
    </row>
    <row r="10" spans="1:7" x14ac:dyDescent="0.25">
      <c r="A10" t="s">
        <v>12</v>
      </c>
      <c r="B10" t="s">
        <v>103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102</v>
      </c>
    </row>
    <row r="11" spans="1:7" x14ac:dyDescent="0.25">
      <c r="A11" t="s">
        <v>14</v>
      </c>
      <c r="B11" t="s">
        <v>103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102</v>
      </c>
    </row>
    <row r="12" spans="1:7" x14ac:dyDescent="0.25">
      <c r="A12" t="s">
        <v>17</v>
      </c>
      <c r="B12" t="s">
        <v>103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102</v>
      </c>
    </row>
    <row r="13" spans="1:7" x14ac:dyDescent="0.25">
      <c r="A13" t="s">
        <v>19</v>
      </c>
      <c r="B13" t="s">
        <v>103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102</v>
      </c>
    </row>
    <row r="14" spans="1:7" x14ac:dyDescent="0.25">
      <c r="A14" t="s">
        <v>21</v>
      </c>
      <c r="B14" t="s">
        <v>103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102</v>
      </c>
    </row>
    <row r="15" spans="1:7" x14ac:dyDescent="0.25">
      <c r="A15" t="s">
        <v>50</v>
      </c>
      <c r="B15" t="s">
        <v>103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102</v>
      </c>
    </row>
    <row r="16" spans="1:7" x14ac:dyDescent="0.25">
      <c r="A16" t="s">
        <v>59</v>
      </c>
      <c r="B16" t="s">
        <v>103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102</v>
      </c>
    </row>
    <row r="17" spans="1:7" x14ac:dyDescent="0.25">
      <c r="A17" t="s">
        <v>79</v>
      </c>
      <c r="B17" t="s">
        <v>103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102</v>
      </c>
    </row>
    <row r="18" spans="1:7" x14ac:dyDescent="0.25">
      <c r="A18" t="s">
        <v>7</v>
      </c>
      <c r="B18" t="s">
        <v>104</v>
      </c>
      <c r="C18">
        <v>160</v>
      </c>
      <c r="D18">
        <v>17.77</v>
      </c>
      <c r="E18">
        <v>0</v>
      </c>
      <c r="F18" s="29">
        <f>Table5[[#This Row],[Charge_Per_Head]]-Table5[[#This Row],[Paid_Amt]]</f>
        <v>17.77</v>
      </c>
      <c r="G18" t="s">
        <v>105</v>
      </c>
    </row>
    <row r="19" spans="1:7" x14ac:dyDescent="0.25">
      <c r="A19" t="s">
        <v>12</v>
      </c>
      <c r="B19" t="s">
        <v>104</v>
      </c>
      <c r="C19">
        <v>160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105</v>
      </c>
    </row>
    <row r="20" spans="1:7" x14ac:dyDescent="0.25">
      <c r="A20" t="s">
        <v>14</v>
      </c>
      <c r="B20" t="s">
        <v>104</v>
      </c>
      <c r="C20">
        <v>160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105</v>
      </c>
    </row>
    <row r="21" spans="1:7" x14ac:dyDescent="0.25">
      <c r="A21" t="s">
        <v>17</v>
      </c>
      <c r="B21" t="s">
        <v>104</v>
      </c>
      <c r="C21">
        <v>160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105</v>
      </c>
    </row>
    <row r="22" spans="1:7" x14ac:dyDescent="0.25">
      <c r="A22" t="s">
        <v>19</v>
      </c>
      <c r="B22" t="s">
        <v>104</v>
      </c>
      <c r="C22">
        <v>160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105</v>
      </c>
    </row>
    <row r="23" spans="1:7" x14ac:dyDescent="0.25">
      <c r="A23" t="s">
        <v>21</v>
      </c>
      <c r="B23" t="s">
        <v>104</v>
      </c>
      <c r="C23">
        <v>160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105</v>
      </c>
    </row>
    <row r="24" spans="1:7" x14ac:dyDescent="0.25">
      <c r="A24" t="s">
        <v>50</v>
      </c>
      <c r="B24" t="s">
        <v>104</v>
      </c>
      <c r="C24">
        <v>160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105</v>
      </c>
    </row>
    <row r="25" spans="1:7" x14ac:dyDescent="0.25">
      <c r="A25" t="s">
        <v>59</v>
      </c>
      <c r="B25" t="s">
        <v>104</v>
      </c>
      <c r="C25">
        <v>160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105</v>
      </c>
    </row>
    <row r="26" spans="1:7" x14ac:dyDescent="0.25">
      <c r="A26" t="s">
        <v>79</v>
      </c>
      <c r="B26" t="s">
        <v>104</v>
      </c>
      <c r="C26">
        <v>160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96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D2" sqref="D2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88</v>
      </c>
      <c r="C1" t="s">
        <v>91</v>
      </c>
      <c r="D1" s="3" t="s">
        <v>89</v>
      </c>
      <c r="E1" t="s">
        <v>93</v>
      </c>
      <c r="F1" t="s">
        <v>94</v>
      </c>
    </row>
    <row r="2" spans="1:6" x14ac:dyDescent="0.25">
      <c r="A2" t="s">
        <v>79</v>
      </c>
      <c r="B2">
        <v>500</v>
      </c>
      <c r="C2" t="s">
        <v>92</v>
      </c>
      <c r="D2" s="3">
        <f>SUMIFS(Daily_Report!E:E,Daily_Report!H:H,Re_Investment_Details!C:C)</f>
        <v>207.96591099720411</v>
      </c>
      <c r="E2">
        <f>Table6[[#This Row],[Requested_Amount]]-Table6[[#This Row],[Total_Added_Amount]]</f>
        <v>292.03408900279589</v>
      </c>
      <c r="F2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2026-01-04T07:59:10Z</dcterms:modified>
</cp:coreProperties>
</file>